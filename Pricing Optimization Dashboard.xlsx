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156c7a3b35dcdc2/Desktop/"/>
    </mc:Choice>
  </mc:AlternateContent>
  <xr:revisionPtr revIDLastSave="12" documentId="8_{854662D6-8D6B-4BC0-B913-652D63310C9C}" xr6:coauthVersionLast="47" xr6:coauthVersionMax="47" xr10:uidLastSave="{759B4491-E14A-4995-A9A7-C47D1DB8B5CB}"/>
  <bookViews>
    <workbookView xWindow="-108" yWindow="-108" windowWidth="23256" windowHeight="12456" tabRatio="500" firstSheet="3" activeTab="4" xr2:uid="{00000000-000D-0000-FFFF-FFFF00000000}"/>
  </bookViews>
  <sheets>
    <sheet name="Torquiose Pendant" sheetId="4" r:id="rId1"/>
    <sheet name="Aztec Princess" sheetId="5" r:id="rId2"/>
    <sheet name="SKU Generator" sheetId="3" r:id="rId3"/>
    <sheet name="Clean_Data" sheetId="6" r:id="rId4"/>
    <sheet name="Dashboard" sheetId="7" r:id="rId5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2" i="6" l="1"/>
  <c r="K2" i="6"/>
  <c r="L2" i="6"/>
  <c r="J3" i="6"/>
  <c r="K3" i="6"/>
  <c r="L3" i="6"/>
  <c r="J4" i="6"/>
  <c r="K4" i="6"/>
  <c r="L4" i="6"/>
  <c r="J5" i="6"/>
  <c r="K5" i="6"/>
  <c r="L5" i="6"/>
  <c r="J6" i="6"/>
  <c r="K6" i="6"/>
  <c r="L6" i="6"/>
  <c r="C8" i="7"/>
  <c r="C7" i="7"/>
  <c r="N3" i="6"/>
  <c r="N4" i="6"/>
  <c r="N5" i="6"/>
  <c r="N6" i="6"/>
  <c r="N2" i="6"/>
  <c r="D20" i="6"/>
  <c r="D19" i="6"/>
  <c r="D17" i="6"/>
  <c r="D18" i="6"/>
  <c r="D16" i="6"/>
  <c r="D15" i="6"/>
  <c r="C2" i="7"/>
  <c r="M2" i="6"/>
  <c r="I3" i="6"/>
  <c r="I4" i="6"/>
  <c r="I5" i="6"/>
  <c r="I6" i="6"/>
  <c r="I2" i="6"/>
  <c r="H3" i="6"/>
  <c r="H4" i="6"/>
  <c r="H5" i="6"/>
  <c r="H6" i="6"/>
  <c r="H2" i="6"/>
  <c r="C6" i="7"/>
  <c r="E58" i="4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E72" i="4"/>
  <c r="E76" i="5"/>
  <c r="E77" i="5"/>
  <c r="E78" i="5"/>
  <c r="E79" i="5"/>
  <c r="E80" i="5"/>
  <c r="E18" i="5"/>
  <c r="E19" i="5"/>
  <c r="E20" i="5"/>
  <c r="E21" i="5"/>
  <c r="E22" i="5"/>
  <c r="E23" i="5"/>
  <c r="E24" i="5"/>
  <c r="E25" i="5"/>
  <c r="E30" i="5"/>
  <c r="E31" i="5"/>
  <c r="E32" i="5"/>
  <c r="E33" i="5"/>
  <c r="E34" i="5"/>
  <c r="E35" i="5"/>
  <c r="E36" i="5"/>
  <c r="E41" i="5"/>
  <c r="E42" i="5"/>
  <c r="E43" i="5"/>
  <c r="E44" i="5"/>
  <c r="E45" i="5"/>
  <c r="E46" i="5"/>
  <c r="E47" i="5"/>
  <c r="E52" i="5"/>
  <c r="E53" i="5"/>
  <c r="E54" i="5"/>
  <c r="E56" i="5"/>
  <c r="E58" i="5"/>
  <c r="E65" i="5"/>
  <c r="E69" i="5"/>
  <c r="E73" i="5"/>
  <c r="E82" i="5"/>
  <c r="E57" i="5"/>
  <c r="B11" i="5"/>
  <c r="E76" i="4"/>
  <c r="E77" i="4"/>
  <c r="E78" i="4"/>
  <c r="E79" i="4"/>
  <c r="E80" i="4"/>
  <c r="E18" i="4"/>
  <c r="E19" i="4"/>
  <c r="E20" i="4"/>
  <c r="E21" i="4"/>
  <c r="E22" i="4"/>
  <c r="E23" i="4"/>
  <c r="E24" i="4"/>
  <c r="E25" i="4"/>
  <c r="E30" i="4"/>
  <c r="E31" i="4"/>
  <c r="E32" i="4"/>
  <c r="E33" i="4"/>
  <c r="E34" i="4"/>
  <c r="E35" i="4"/>
  <c r="E36" i="4"/>
  <c r="E41" i="4"/>
  <c r="E42" i="4"/>
  <c r="E43" i="4"/>
  <c r="E44" i="4"/>
  <c r="E45" i="4"/>
  <c r="E46" i="4"/>
  <c r="E47" i="4"/>
  <c r="E52" i="4"/>
  <c r="E53" i="4"/>
  <c r="E54" i="4"/>
  <c r="E56" i="4"/>
  <c r="E65" i="4"/>
  <c r="E69" i="4"/>
  <c r="E73" i="4"/>
  <c r="E82" i="4"/>
  <c r="E57" i="4"/>
  <c r="B11" i="4"/>
  <c r="C4" i="7"/>
  <c r="C5" i="7"/>
  <c r="C3" i="7"/>
</calcChain>
</file>

<file path=xl/sharedStrings.xml><?xml version="1.0" encoding="utf-8"?>
<sst xmlns="http://schemas.openxmlformats.org/spreadsheetml/2006/main" count="238" uniqueCount="133">
  <si>
    <t>Material Price</t>
  </si>
  <si>
    <t>Quantity</t>
  </si>
  <si>
    <t>Total Material Price</t>
  </si>
  <si>
    <t>Vendors</t>
  </si>
  <si>
    <t>MATERIAL COSTS</t>
  </si>
  <si>
    <t>SKU:</t>
  </si>
  <si>
    <t>LABOR COSTS</t>
  </si>
  <si>
    <t>Section:</t>
  </si>
  <si>
    <t>Labor</t>
  </si>
  <si>
    <t>Number of hours</t>
  </si>
  <si>
    <t>Hourly Wage</t>
  </si>
  <si>
    <t>Total Labor</t>
  </si>
  <si>
    <t>Notes</t>
  </si>
  <si>
    <t>Sub-total</t>
  </si>
  <si>
    <t>PACKAGING COSTS</t>
  </si>
  <si>
    <t>Total Packaging</t>
  </si>
  <si>
    <t>Packaging</t>
  </si>
  <si>
    <t>Qty</t>
  </si>
  <si>
    <t>Cost</t>
  </si>
  <si>
    <t>Sales Tax</t>
  </si>
  <si>
    <t>OTHER CHARGES</t>
  </si>
  <si>
    <t>Rush Order</t>
  </si>
  <si>
    <t>Color Change</t>
  </si>
  <si>
    <t>ETSY FEES AND SALES TAX</t>
  </si>
  <si>
    <t>Personalization</t>
  </si>
  <si>
    <t>Size Change</t>
  </si>
  <si>
    <t>Etsy Listing Fees</t>
  </si>
  <si>
    <t>5%%</t>
  </si>
  <si>
    <t xml:space="preserve">SHIPPING </t>
  </si>
  <si>
    <t>Shipping</t>
  </si>
  <si>
    <t>Wholesale Price</t>
  </si>
  <si>
    <t>Retail Price</t>
  </si>
  <si>
    <t>Retail Price + Shipping</t>
  </si>
  <si>
    <t>PRODUCT PRICE WORKSHEET</t>
  </si>
  <si>
    <t>OTHER COSTS</t>
  </si>
  <si>
    <t>Description</t>
  </si>
  <si>
    <t>Total Other Costs</t>
  </si>
  <si>
    <t>Material+Labor+Packaging+Other Costs</t>
  </si>
  <si>
    <t>Direct Checkout</t>
  </si>
  <si>
    <t>Paypal</t>
  </si>
  <si>
    <t>3% + $0.25</t>
  </si>
  <si>
    <t>Etsy Commission</t>
  </si>
  <si>
    <t>2.9% + $0.30</t>
  </si>
  <si>
    <t>Material (metric)</t>
  </si>
  <si>
    <t>SUGGESTED PRICE</t>
  </si>
  <si>
    <t>Product name</t>
  </si>
  <si>
    <t>Type</t>
  </si>
  <si>
    <t>Color</t>
  </si>
  <si>
    <t>Size</t>
  </si>
  <si>
    <t>SKU</t>
  </si>
  <si>
    <t>[Example: Color]</t>
  </si>
  <si>
    <t>[Insert option]</t>
  </si>
  <si>
    <t>Automatic</t>
  </si>
  <si>
    <t>Pendant</t>
  </si>
  <si>
    <t>Torquiose</t>
  </si>
  <si>
    <t>Bracelet</t>
  </si>
  <si>
    <t>Native American</t>
  </si>
  <si>
    <t>Regular</t>
  </si>
  <si>
    <t>XL</t>
  </si>
  <si>
    <t>Earrings</t>
  </si>
  <si>
    <t>Product name:</t>
  </si>
  <si>
    <t>Torquiose Pendant</t>
  </si>
  <si>
    <t>Polymer Clay</t>
  </si>
  <si>
    <t>Wood Beads</t>
  </si>
  <si>
    <t>Findings</t>
  </si>
  <si>
    <t>Faux Suede thread</t>
  </si>
  <si>
    <t>Don</t>
  </si>
  <si>
    <t>Sherrie</t>
  </si>
  <si>
    <t>Box</t>
  </si>
  <si>
    <t>Aztec Princess</t>
  </si>
  <si>
    <t>Silver/Blue</t>
  </si>
  <si>
    <t>Boho Style</t>
  </si>
  <si>
    <t>Brown</t>
  </si>
  <si>
    <t>dangle</t>
  </si>
  <si>
    <t>Pink</t>
  </si>
  <si>
    <t>Adjustable</t>
  </si>
  <si>
    <t>Facebook Listing Fees</t>
  </si>
  <si>
    <t>Facebook Commission</t>
  </si>
  <si>
    <t>FACEBOOK FEES AND SALES TAX</t>
  </si>
  <si>
    <t>Set</t>
  </si>
  <si>
    <t>Multi Colored</t>
  </si>
  <si>
    <t>Turquoise Heart Pendant</t>
  </si>
  <si>
    <t>Blue/Silver</t>
  </si>
  <si>
    <t>Oval Pendant</t>
  </si>
  <si>
    <t>Oval Earrings</t>
  </si>
  <si>
    <t>Beaded Necklace &amp; Earrings</t>
  </si>
  <si>
    <t>Glass Beaded Necklace</t>
  </si>
  <si>
    <t>Lavender</t>
  </si>
  <si>
    <t>Pearlized Beaded Necklace</t>
  </si>
  <si>
    <t>Pastel</t>
  </si>
  <si>
    <t>Turquoise Bracelet</t>
  </si>
  <si>
    <t>Cuff</t>
  </si>
  <si>
    <t>Earrings &amp; Pendant Set</t>
  </si>
  <si>
    <t>Mica Powder</t>
  </si>
  <si>
    <t>Medium</t>
  </si>
  <si>
    <t>Resin</t>
  </si>
  <si>
    <t>Clear</t>
  </si>
  <si>
    <t>Pair</t>
  </si>
  <si>
    <t>Black</t>
  </si>
  <si>
    <t>Labor_Cost</t>
  </si>
  <si>
    <t>Packing_Cost</t>
  </si>
  <si>
    <t>Shipping_Cost</t>
  </si>
  <si>
    <t>Tax</t>
  </si>
  <si>
    <t>Total_Cost</t>
  </si>
  <si>
    <t>Selling_Price</t>
  </si>
  <si>
    <t>Profit</t>
  </si>
  <si>
    <t>Profit_Margin</t>
  </si>
  <si>
    <t>Total Revenue</t>
  </si>
  <si>
    <t>Average Profit</t>
  </si>
  <si>
    <t>Highest Profit</t>
  </si>
  <si>
    <t>Quantity_Sold</t>
  </si>
  <si>
    <t>Product_Name</t>
  </si>
  <si>
    <t>Material_ Cost</t>
  </si>
  <si>
    <t>Fees</t>
  </si>
  <si>
    <t>Pendant01</t>
  </si>
  <si>
    <t>Earrings01</t>
  </si>
  <si>
    <t>Bracelet01</t>
  </si>
  <si>
    <t>Set01</t>
  </si>
  <si>
    <t>Collection01</t>
  </si>
  <si>
    <t>Cost_Type</t>
  </si>
  <si>
    <t>Amount</t>
  </si>
  <si>
    <t>Material</t>
  </si>
  <si>
    <t>INSIGHTS</t>
  </si>
  <si>
    <t>Markup %:</t>
  </si>
  <si>
    <t>Total_Revenue</t>
  </si>
  <si>
    <t>Total Profit</t>
  </si>
  <si>
    <t>Average Margin</t>
  </si>
  <si>
    <t>Collection01 generates the highest profit, indicating strong pricing performance</t>
  </si>
  <si>
    <t>Earrings01 shows lower profitability, suggesting cost or pricing inefficiencies</t>
  </si>
  <si>
    <t>Increasing markup improves total revenue but may impact competitiveness</t>
  </si>
  <si>
    <t>Cost structure (materials + labor) is the largest driver of pricing</t>
  </si>
  <si>
    <t>Top Performing Product</t>
  </si>
  <si>
    <t>Avg Cost per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</si>
</sst>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0.0%"/>
    <numFmt numFmtId="165" formatCode="&quot;$&quot;#,##0.00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Arial"/>
    </font>
    <font>
      <sz val="12"/>
      <color theme="1"/>
      <name val="Arial"/>
    </font>
    <font>
      <b/>
      <sz val="14"/>
      <color theme="1"/>
      <name val="Arial"/>
    </font>
    <font>
      <b/>
      <sz val="22"/>
      <color theme="2" tint="-0.749992370372631"/>
      <name val="Arial"/>
    </font>
    <font>
      <sz val="12"/>
      <color theme="2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Open Sans"/>
      <family val="2"/>
    </font>
    <font>
      <sz val="10"/>
      <color theme="1" tint="0.14999847407452621"/>
      <name val="Open Sans"/>
      <family val="2"/>
    </font>
    <font>
      <b/>
      <sz val="11"/>
      <color theme="0"/>
      <name val="Open Sans"/>
      <family val="2"/>
    </font>
    <font>
      <b/>
      <sz val="11"/>
      <color rgb="FF092332"/>
      <name val="Open Sans"/>
      <family val="2"/>
    </font>
    <font>
      <i/>
      <sz val="9"/>
      <color theme="1"/>
      <name val="Open Sans"/>
      <family val="2"/>
    </font>
    <font>
      <b/>
      <i/>
      <sz val="8"/>
      <color theme="0"/>
      <name val="Open Sans"/>
      <family val="2"/>
    </font>
    <font>
      <b/>
      <i/>
      <sz val="8"/>
      <color rgb="FF092332"/>
      <name val="Open Sans"/>
      <family val="2"/>
    </font>
    <font>
      <sz val="11"/>
      <color theme="1"/>
      <name val="Source Sans Pro"/>
    </font>
    <font>
      <u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6BC87"/>
        <bgColor indexed="64"/>
      </patternFill>
    </fill>
    <fill>
      <patternFill patternType="solid">
        <fgColor rgb="FFC9D7D4"/>
        <bgColor indexed="64"/>
      </patternFill>
    </fill>
    <fill>
      <patternFill patternType="solid">
        <fgColor theme="9" tint="0.39997558519241921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19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10" xfId="0" applyFont="1" applyBorder="1"/>
    <xf numFmtId="0" fontId="3" fillId="2" borderId="6" xfId="0" applyFont="1" applyFill="1" applyBorder="1"/>
    <xf numFmtId="0" fontId="3" fillId="2" borderId="2" xfId="0" applyFont="1" applyFill="1" applyBorder="1"/>
    <xf numFmtId="44" fontId="3" fillId="2" borderId="2" xfId="1" applyFont="1" applyFill="1" applyBorder="1"/>
    <xf numFmtId="0" fontId="3" fillId="2" borderId="7" xfId="0" applyFont="1" applyFill="1" applyBorder="1"/>
    <xf numFmtId="0" fontId="3" fillId="0" borderId="3" xfId="0" applyFont="1" applyBorder="1"/>
    <xf numFmtId="0" fontId="3" fillId="0" borderId="8" xfId="0" applyFont="1" applyBorder="1"/>
    <xf numFmtId="0" fontId="3" fillId="2" borderId="3" xfId="0" applyFont="1" applyFill="1" applyBorder="1"/>
    <xf numFmtId="44" fontId="3" fillId="2" borderId="5" xfId="1" applyFont="1" applyFill="1" applyBorder="1"/>
    <xf numFmtId="0" fontId="3" fillId="2" borderId="8" xfId="0" applyFont="1" applyFill="1" applyBorder="1"/>
    <xf numFmtId="0" fontId="3" fillId="0" borderId="9" xfId="0" applyFont="1" applyBorder="1"/>
    <xf numFmtId="0" fontId="3" fillId="0" borderId="4" xfId="0" applyFont="1" applyBorder="1"/>
    <xf numFmtId="44" fontId="3" fillId="0" borderId="10" xfId="1" applyFont="1" applyBorder="1" applyAlignment="1"/>
    <xf numFmtId="44" fontId="3" fillId="0" borderId="5" xfId="1" applyFont="1" applyFill="1" applyBorder="1"/>
    <xf numFmtId="44" fontId="3" fillId="0" borderId="4" xfId="1" applyFont="1" applyFill="1" applyBorder="1"/>
    <xf numFmtId="44" fontId="3" fillId="0" borderId="10" xfId="1" applyFont="1" applyBorder="1"/>
    <xf numFmtId="0" fontId="2" fillId="0" borderId="0" xfId="0" applyFont="1" applyAlignment="1">
      <alignment horizontal="right"/>
    </xf>
    <xf numFmtId="44" fontId="3" fillId="0" borderId="0" xfId="1" applyFont="1" applyFill="1" applyBorder="1"/>
    <xf numFmtId="44" fontId="3" fillId="2" borderId="4" xfId="1" applyFont="1" applyFill="1" applyBorder="1"/>
    <xf numFmtId="0" fontId="3" fillId="2" borderId="9" xfId="0" applyFont="1" applyFill="1" applyBorder="1"/>
    <xf numFmtId="0" fontId="3" fillId="2" borderId="11" xfId="0" applyFont="1" applyFill="1" applyBorder="1"/>
    <xf numFmtId="0" fontId="6" fillId="0" borderId="0" xfId="0" applyFont="1"/>
    <xf numFmtId="0" fontId="0" fillId="0" borderId="10" xfId="0" applyBorder="1"/>
    <xf numFmtId="0" fontId="0" fillId="0" borderId="3" xfId="0" applyBorder="1"/>
    <xf numFmtId="9" fontId="0" fillId="0" borderId="8" xfId="0" applyNumberFormat="1" applyBorder="1" applyAlignment="1">
      <alignment horizontal="right"/>
    </xf>
    <xf numFmtId="0" fontId="0" fillId="0" borderId="9" xfId="0" applyBorder="1"/>
    <xf numFmtId="0" fontId="0" fillId="2" borderId="0" xfId="0" applyFill="1"/>
    <xf numFmtId="0" fontId="0" fillId="2" borderId="6" xfId="0" applyFill="1" applyBorder="1"/>
    <xf numFmtId="0" fontId="0" fillId="2" borderId="16" xfId="0" applyFill="1" applyBorder="1"/>
    <xf numFmtId="44" fontId="0" fillId="2" borderId="7" xfId="1" applyFont="1" applyFill="1" applyBorder="1" applyAlignment="1">
      <alignment horizontal="right"/>
    </xf>
    <xf numFmtId="0" fontId="0" fillId="2" borderId="9" xfId="0" applyFill="1" applyBorder="1"/>
    <xf numFmtId="0" fontId="0" fillId="2" borderId="10" xfId="0" applyFill="1" applyBorder="1"/>
    <xf numFmtId="9" fontId="0" fillId="2" borderId="11" xfId="0" applyNumberFormat="1" applyFill="1" applyBorder="1" applyAlignment="1">
      <alignment horizontal="right"/>
    </xf>
    <xf numFmtId="0" fontId="0" fillId="0" borderId="5" xfId="0" applyBorder="1"/>
    <xf numFmtId="0" fontId="0" fillId="0" borderId="2" xfId="0" applyBorder="1"/>
    <xf numFmtId="0" fontId="0" fillId="0" borderId="4" xfId="0" applyBorder="1"/>
    <xf numFmtId="0" fontId="3" fillId="0" borderId="7" xfId="0" applyFont="1" applyBorder="1"/>
    <xf numFmtId="0" fontId="3" fillId="0" borderId="11" xfId="0" applyFont="1" applyBorder="1"/>
    <xf numFmtId="0" fontId="0" fillId="2" borderId="3" xfId="0" applyFill="1" applyBorder="1"/>
    <xf numFmtId="0" fontId="0" fillId="0" borderId="14" xfId="0" applyBorder="1"/>
    <xf numFmtId="0" fontId="7" fillId="0" borderId="14" xfId="0" applyFont="1" applyBorder="1" applyAlignment="1">
      <alignment horizontal="right"/>
    </xf>
    <xf numFmtId="0" fontId="8" fillId="0" borderId="0" xfId="0" applyFont="1" applyAlignment="1">
      <alignment horizontal="right"/>
    </xf>
    <xf numFmtId="9" fontId="8" fillId="0" borderId="0" xfId="0" applyNumberFormat="1" applyFont="1" applyAlignment="1">
      <alignment horizontal="right"/>
    </xf>
    <xf numFmtId="44" fontId="0" fillId="0" borderId="10" xfId="0" applyNumberFormat="1" applyBorder="1"/>
    <xf numFmtId="44" fontId="0" fillId="0" borderId="14" xfId="0" applyNumberFormat="1" applyBorder="1"/>
    <xf numFmtId="8" fontId="0" fillId="2" borderId="7" xfId="1" applyNumberFormat="1" applyFont="1" applyFill="1" applyBorder="1" applyAlignment="1">
      <alignment horizontal="right"/>
    </xf>
    <xf numFmtId="44" fontId="0" fillId="2" borderId="2" xfId="1" applyFont="1" applyFill="1" applyBorder="1"/>
    <xf numFmtId="164" fontId="0" fillId="0" borderId="8" xfId="0" applyNumberFormat="1" applyBorder="1" applyAlignment="1">
      <alignment horizontal="right"/>
    </xf>
    <xf numFmtId="9" fontId="0" fillId="0" borderId="0" xfId="0" applyNumberFormat="1" applyAlignment="1">
      <alignment horizontal="right"/>
    </xf>
    <xf numFmtId="44" fontId="0" fillId="0" borderId="5" xfId="1" applyFont="1" applyBorder="1"/>
    <xf numFmtId="44" fontId="0" fillId="2" borderId="5" xfId="1" applyFont="1" applyFill="1" applyBorder="1"/>
    <xf numFmtId="44" fontId="0" fillId="0" borderId="4" xfId="1" applyFont="1" applyBorder="1"/>
    <xf numFmtId="44" fontId="0" fillId="0" borderId="14" xfId="1" applyFont="1" applyBorder="1"/>
    <xf numFmtId="9" fontId="7" fillId="0" borderId="14" xfId="0" applyNumberFormat="1" applyFont="1" applyBorder="1" applyAlignment="1">
      <alignment horizontal="right"/>
    </xf>
    <xf numFmtId="44" fontId="0" fillId="0" borderId="8" xfId="1" applyFont="1" applyBorder="1" applyAlignment="1">
      <alignment horizontal="right"/>
    </xf>
    <xf numFmtId="44" fontId="0" fillId="2" borderId="8" xfId="1" applyFont="1" applyFill="1" applyBorder="1" applyAlignment="1">
      <alignment horizontal="right"/>
    </xf>
    <xf numFmtId="44" fontId="0" fillId="0" borderId="11" xfId="1" applyFont="1" applyBorder="1" applyAlignment="1">
      <alignment horizontal="right"/>
    </xf>
    <xf numFmtId="0" fontId="5" fillId="0" borderId="0" xfId="0" applyFont="1" applyAlignment="1">
      <alignment horizontal="center"/>
    </xf>
    <xf numFmtId="0" fontId="3" fillId="2" borderId="6" xfId="0" applyFont="1" applyFill="1" applyBorder="1" applyAlignment="1">
      <alignment horizontal="center"/>
    </xf>
    <xf numFmtId="44" fontId="3" fillId="0" borderId="5" xfId="1" applyFont="1" applyBorder="1"/>
    <xf numFmtId="0" fontId="3" fillId="0" borderId="3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44" fontId="0" fillId="0" borderId="12" xfId="0" applyNumberFormat="1" applyBorder="1"/>
    <xf numFmtId="0" fontId="7" fillId="0" borderId="0" xfId="0" applyFont="1" applyAlignment="1">
      <alignment horizontal="right"/>
    </xf>
    <xf numFmtId="44" fontId="0" fillId="0" borderId="17" xfId="0" applyNumberFormat="1" applyBorder="1"/>
    <xf numFmtId="44" fontId="3" fillId="0" borderId="4" xfId="1" applyFont="1" applyBorder="1"/>
    <xf numFmtId="0" fontId="3" fillId="2" borderId="2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44" fontId="0" fillId="2" borderId="4" xfId="1" applyFont="1" applyFill="1" applyBorder="1"/>
    <xf numFmtId="0" fontId="3" fillId="2" borderId="9" xfId="0" applyFont="1" applyFill="1" applyBorder="1" applyAlignment="1">
      <alignment horizontal="center"/>
    </xf>
    <xf numFmtId="44" fontId="3" fillId="2" borderId="6" xfId="1" applyFont="1" applyFill="1" applyBorder="1"/>
    <xf numFmtId="44" fontId="3" fillId="0" borderId="3" xfId="1" applyFont="1" applyBorder="1"/>
    <xf numFmtId="44" fontId="3" fillId="2" borderId="3" xfId="1" applyFont="1" applyFill="1" applyBorder="1"/>
    <xf numFmtId="44" fontId="3" fillId="0" borderId="9" xfId="1" applyFont="1" applyBorder="1"/>
    <xf numFmtId="0" fontId="11" fillId="0" borderId="0" xfId="0" applyFont="1"/>
    <xf numFmtId="0" fontId="12" fillId="0" borderId="0" xfId="0" applyFont="1"/>
    <xf numFmtId="0" fontId="13" fillId="3" borderId="18" xfId="0" applyFont="1" applyFill="1" applyBorder="1"/>
    <xf numFmtId="0" fontId="14" fillId="4" borderId="19" xfId="0" applyFont="1" applyFill="1" applyBorder="1"/>
    <xf numFmtId="0" fontId="15" fillId="0" borderId="0" xfId="0" applyFont="1"/>
    <xf numFmtId="0" fontId="16" fillId="3" borderId="20" xfId="0" applyFont="1" applyFill="1" applyBorder="1"/>
    <xf numFmtId="0" fontId="17" fillId="4" borderId="21" xfId="0" applyFont="1" applyFill="1" applyBorder="1"/>
    <xf numFmtId="0" fontId="18" fillId="0" borderId="21" xfId="0" applyFont="1" applyBorder="1" applyAlignment="1">
      <alignment horizontal="left"/>
    </xf>
    <xf numFmtId="0" fontId="18" fillId="0" borderId="21" xfId="0" applyFont="1" applyBorder="1" applyAlignment="1" applyProtection="1">
      <alignment horizontal="left"/>
      <protection hidden="1"/>
    </xf>
    <xf numFmtId="0" fontId="18" fillId="0" borderId="22" xfId="0" applyFont="1" applyBorder="1" applyAlignment="1">
      <alignment horizontal="left"/>
    </xf>
    <xf numFmtId="0" fontId="18" fillId="0" borderId="22" xfId="0" applyFont="1" applyBorder="1" applyAlignment="1" applyProtection="1">
      <alignment horizontal="left"/>
      <protection hidden="1"/>
    </xf>
    <xf numFmtId="165" fontId="0" fillId="0" borderId="0" xfId="0" applyNumberFormat="1"/>
    <xf numFmtId="0" fontId="0" fillId="0" borderId="23" xfId="0" applyBorder="1"/>
    <xf numFmtId="9" fontId="0" fillId="0" borderId="0" xfId="0" applyNumberFormat="1"/>
    <xf numFmtId="44" fontId="0" fillId="0" borderId="0" xfId="0" applyNumberFormat="1"/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2" fillId="0" borderId="10" xfId="0" applyFont="1" applyBorder="1" applyAlignment="1">
      <alignment horizontal="right"/>
    </xf>
    <xf numFmtId="0" fontId="8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165" fontId="19" fillId="0" borderId="0" xfId="0" applyNumberFormat="1" applyFont="1"/>
    <xf numFmtId="0" fontId="7" fillId="0" borderId="0" xfId="0" applyFont="1"/>
    <xf numFmtId="0" fontId="0" fillId="0" borderId="0" xfId="0" applyAlignment="1">
      <alignment horizontal="left" vertical="center" indent="1"/>
    </xf>
    <xf numFmtId="0" fontId="0" fillId="5" borderId="24" xfId="0" applyFill="1" applyBorder="1"/>
    <xf numFmtId="165" fontId="0" fillId="5" borderId="25" xfId="0" applyNumberFormat="1" applyFill="1" applyBorder="1"/>
    <xf numFmtId="0" fontId="0" fillId="5" borderId="26" xfId="0" applyFill="1" applyBorder="1"/>
    <xf numFmtId="165" fontId="0" fillId="5" borderId="27" xfId="0" applyNumberFormat="1" applyFill="1" applyBorder="1"/>
    <xf numFmtId="0" fontId="0" fillId="5" borderId="27" xfId="0" applyFill="1" applyBorder="1"/>
    <xf numFmtId="0" fontId="0" fillId="5" borderId="28" xfId="0" applyFill="1" applyBorder="1"/>
    <xf numFmtId="9" fontId="0" fillId="5" borderId="29" xfId="0" applyNumberFormat="1" applyFill="1" applyBorder="1"/>
  </cellXfs>
  <cellStyles count="4">
    <cellStyle name="Currency" xfId="1" builtinId="4"/>
    <cellStyle name="Followed Hyperlink" xfId="3" builtinId="9" hidden="1"/>
    <cellStyle name="Hyperlink" xfId="2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/>
              <a:t>Cost Breakdown (Collection01)</a:t>
            </a:r>
            <a:r>
              <a:rPr lang="en-GB" sz="1400" b="0" i="0" u="none" strike="noStrike" baseline="0"/>
              <a:t>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Clean_Data!$D$14</c:f>
              <c:strCache>
                <c:ptCount val="1"/>
                <c:pt idx="0">
                  <c:v>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E14-4B19-A81E-E8A6497BBA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E14-4B19-A81E-E8A6497BBA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E14-4B19-A81E-E8A6497BBA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E14-4B19-A81E-E8A6497BBA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E14-4B19-A81E-E8A6497BBA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E14-4B19-A81E-E8A6497BBAA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Clean_Data!$C$15:$C$20</c:f>
              <c:strCache>
                <c:ptCount val="6"/>
                <c:pt idx="0">
                  <c:v>Material</c:v>
                </c:pt>
                <c:pt idx="1">
                  <c:v>Labor</c:v>
                </c:pt>
                <c:pt idx="2">
                  <c:v>Packaging</c:v>
                </c:pt>
                <c:pt idx="3">
                  <c:v>Shipping</c:v>
                </c:pt>
                <c:pt idx="4">
                  <c:v>Fees</c:v>
                </c:pt>
                <c:pt idx="5">
                  <c:v>Tax</c:v>
                </c:pt>
              </c:strCache>
            </c:strRef>
          </c:cat>
          <c:val>
            <c:numRef>
              <c:f>Clean_Data!$D$15:$D$20</c:f>
              <c:numCache>
                <c:formatCode>"$"#,##0.00</c:formatCode>
                <c:ptCount val="6"/>
                <c:pt idx="0">
                  <c:v>10</c:v>
                </c:pt>
                <c:pt idx="1">
                  <c:v>7</c:v>
                </c:pt>
                <c:pt idx="2">
                  <c:v>4</c:v>
                </c:pt>
                <c:pt idx="3">
                  <c:v>2.5</c:v>
                </c:pt>
                <c:pt idx="4">
                  <c:v>5</c:v>
                </c:pt>
                <c:pt idx="5">
                  <c:v>2.1149999999999998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E14-4B19-A81E-E8A6497BBAA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Revenue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Clean_Data!$N$1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Clean_Data!$A$2:$A$6</c:f>
              <c:strCache>
                <c:ptCount val="5"/>
                <c:pt idx="0">
                  <c:v>Pendant01</c:v>
                </c:pt>
                <c:pt idx="1">
                  <c:v>Earrings01</c:v>
                </c:pt>
                <c:pt idx="2">
                  <c:v>Bracelet01</c:v>
                </c:pt>
                <c:pt idx="3">
                  <c:v>Set01</c:v>
                </c:pt>
                <c:pt idx="4">
                  <c:v>Collection01</c:v>
                </c:pt>
              </c:strCache>
            </c:strRef>
          </c:cat>
          <c:val>
            <c:numRef>
              <c:f>Clean_Data!$N$2:$N$6</c:f>
              <c:numCache>
                <c:formatCode>"$"#,##0.00</c:formatCode>
                <c:ptCount val="5"/>
                <c:pt idx="0">
                  <c:v>33.564700000000002</c:v>
                </c:pt>
                <c:pt idx="1">
                  <c:v>20.103200000000001</c:v>
                </c:pt>
                <c:pt idx="2">
                  <c:v>24.354200000000002</c:v>
                </c:pt>
                <c:pt idx="3">
                  <c:v>32.714500000000001</c:v>
                </c:pt>
                <c:pt idx="4">
                  <c:v>39.799500000000002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C5-46A2-A12E-D664DBA97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6175968"/>
        <c:axId val="1226184128"/>
      </c:barChart>
      <c:catAx>
        <c:axId val="122617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184128"/>
        <c:crosses val="autoZero"/>
        <c:auto val="1"/>
        <c:lblAlgn val="ctr"/>
        <c:lblOffset val="100"/>
        <c:noMultiLvlLbl val="0"/>
      </c:catAx>
      <c:valAx>
        <c:axId val="122618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175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Clean_Data!$K$1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Clean_Data!$A$2:$A$201</c:f>
              <c:strCache>
                <c:ptCount val="5"/>
                <c:pt idx="0">
                  <c:v>Pendant01</c:v>
                </c:pt>
                <c:pt idx="1">
                  <c:v>Earrings01</c:v>
                </c:pt>
                <c:pt idx="2">
                  <c:v>Bracelet01</c:v>
                </c:pt>
                <c:pt idx="3">
                  <c:v>Set01</c:v>
                </c:pt>
                <c:pt idx="4">
                  <c:v>Collection01</c:v>
                </c:pt>
              </c:strCache>
            </c:strRef>
          </c:cat>
          <c:val>
            <c:numRef>
              <c:f>Clean_Data!$K$2:$K$6</c:f>
              <c:numCache>
                <c:formatCode>"$"#,##0.00</c:formatCode>
                <c:ptCount val="5"/>
                <c:pt idx="0">
                  <c:v>7.7456999999999994</c:v>
                </c:pt>
                <c:pt idx="1">
                  <c:v>4.6392000000000007</c:v>
                </c:pt>
                <c:pt idx="2">
                  <c:v>5.6202000000000005</c:v>
                </c:pt>
                <c:pt idx="3">
                  <c:v>7.5495000000000019</c:v>
                </c:pt>
                <c:pt idx="4">
                  <c:v>9.1845000000000034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0F-476A-B8A0-137695F8D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6"/>
        <c:overlap val="7"/>
        <c:axId val="2009412688"/>
        <c:axId val="2009414608"/>
      </c:barChart>
      <c:catAx>
        <c:axId val="2009412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414608"/>
        <c:crosses val="autoZero"/>
        <c:auto val="1"/>
        <c:lblAlgn val="ctr"/>
        <c:lblOffset val="100"/>
        <c:tickLblSkip val="1"/>
        <c:tickMarkSkip val="3"/>
        <c:noMultiLvlLbl val="0"/>
      </c:catAx>
      <c:valAx>
        <c:axId val="200941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41268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533400</xdr:colOff>
      <xdr:row>1</xdr:row>
      <xdr:rowOff>50799</xdr:rowOff>
    </xdr:from>
    <xdr:to>
      <xdr:col>4</xdr:col>
      <xdr:colOff>635000</xdr:colOff>
      <xdr:row>13</xdr:row>
      <xdr:rowOff>183147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D50AE8-9748-4974-ADAF-72B3FEDA4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0" y="403224"/>
          <a:ext cx="1216025" cy="25040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1097280</xdr:colOff>
      <xdr:row>1</xdr:row>
      <xdr:rowOff>101600</xdr:rowOff>
    </xdr:from>
    <xdr:to>
      <xdr:col>5</xdr:col>
      <xdr:colOff>1137919</xdr:colOff>
      <xdr:row>13</xdr:row>
      <xdr:rowOff>87497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B9FDD8-3738-C569-FB1B-F080F9923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0400" y="457200"/>
          <a:ext cx="2001519" cy="239381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276438</xdr:colOff>
      <xdr:row>25</xdr:row>
      <xdr:rowOff>35136</xdr:rowOff>
    </xdr:from>
    <xdr:to>
      <xdr:col>21</xdr:col>
      <xdr:colOff>33866</xdr:colOff>
      <xdr:row>41</xdr:row>
      <xdr:rowOff>42332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660A58-5B28-DB2E-E6BD-928817309C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852714</xdr:colOff>
      <xdr:row>32</xdr:row>
      <xdr:rowOff>156029</xdr:rowOff>
    </xdr:from>
    <xdr:to>
      <xdr:col>9</xdr:col>
      <xdr:colOff>491067</xdr:colOff>
      <xdr:row>48</xdr:row>
      <xdr:rowOff>166914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ADB5B4-B6F0-426E-89AB-F929C82924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856826</xdr:colOff>
      <xdr:row>14</xdr:row>
      <xdr:rowOff>137161</xdr:rowOff>
    </xdr:from>
    <xdr:to>
      <xdr:col>9</xdr:col>
      <xdr:colOff>448733</xdr:colOff>
      <xdr:row>31</xdr:row>
      <xdr:rowOff>37677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408FE19-B2BA-51DC-C94B-273595C1B1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41891-0299-4645-8912-6D96B89FE5A0}">
  <sheetPr>
    <pageSetUpPr fitToPage="1"/>
  </sheetPr>
  <dimension ref="B1:M82"/>
  <sheetViews>
    <sheetView showGridLines="0" topLeftCell="A5" zoomScale="80" zoomScaleNormal="80" zoomScalePageLayoutView="75" workbookViewId="0">
      <selection activeCell="B11" sqref="B11"/>
    </sheetView>
  </sheetViews>
  <sheetFormatPr defaultColWidth="11" defaultRowHeight="15.6" x14ac:dyDescent="0.3"/>
  <cols>
    <col min="1" max="1" width="3.09765625" customWidth="1"/>
    <col min="2" max="2" width="27" customWidth="1"/>
    <col min="3" max="3" width="14.09765625" customWidth="1"/>
    <col min="4" max="4" width="14.59765625" customWidth="1"/>
    <col min="5" max="5" width="11" customWidth="1"/>
    <col min="6" max="6" width="24.3984375" customWidth="1"/>
  </cols>
  <sheetData>
    <row r="1" spans="2:8" ht="28.2" x14ac:dyDescent="0.5">
      <c r="B1" s="106" t="s">
        <v>33</v>
      </c>
      <c r="C1" s="106"/>
      <c r="D1" s="106"/>
      <c r="E1" s="106"/>
      <c r="F1" s="106"/>
    </row>
    <row r="2" spans="2:8" ht="14.1" customHeight="1" x14ac:dyDescent="0.5">
      <c r="B2" s="60"/>
      <c r="C2" s="60"/>
      <c r="D2" s="60"/>
      <c r="E2" s="60"/>
      <c r="F2" s="60"/>
    </row>
    <row r="4" spans="2:8" x14ac:dyDescent="0.3">
      <c r="B4" s="1" t="s">
        <v>7</v>
      </c>
      <c r="C4" s="2"/>
      <c r="D4" s="2"/>
      <c r="E4" s="2"/>
      <c r="F4" s="2"/>
    </row>
    <row r="5" spans="2:8" x14ac:dyDescent="0.3">
      <c r="B5" s="3" t="s">
        <v>53</v>
      </c>
      <c r="C5" s="3"/>
      <c r="D5" s="2"/>
      <c r="E5" s="2"/>
      <c r="F5" s="2"/>
    </row>
    <row r="6" spans="2:8" x14ac:dyDescent="0.3">
      <c r="B6" s="2"/>
      <c r="C6" s="2"/>
      <c r="D6" s="2"/>
      <c r="E6" s="2"/>
      <c r="F6" s="2"/>
    </row>
    <row r="7" spans="2:8" x14ac:dyDescent="0.3">
      <c r="B7" s="1" t="s">
        <v>60</v>
      </c>
      <c r="C7" s="2"/>
      <c r="D7" s="2"/>
      <c r="E7" s="107"/>
      <c r="F7" s="107"/>
    </row>
    <row r="8" spans="2:8" x14ac:dyDescent="0.3">
      <c r="B8" s="3" t="s">
        <v>61</v>
      </c>
      <c r="C8" s="3"/>
      <c r="D8" s="2"/>
      <c r="E8" s="107"/>
      <c r="F8" s="107"/>
    </row>
    <row r="9" spans="2:8" x14ac:dyDescent="0.3">
      <c r="B9" s="2"/>
      <c r="C9" s="2"/>
      <c r="D9" s="2"/>
      <c r="E9" s="107"/>
      <c r="F9" s="107"/>
    </row>
    <row r="10" spans="2:8" x14ac:dyDescent="0.3">
      <c r="B10" s="1" t="s">
        <v>5</v>
      </c>
      <c r="C10" s="2"/>
      <c r="D10" s="2"/>
      <c r="E10" s="107"/>
      <c r="F10" s="107"/>
    </row>
    <row r="11" spans="2:8" x14ac:dyDescent="0.3">
      <c r="B11" s="3" t="str">
        <f>'SKU Generator'!F4</f>
        <v>PEN-POL-TOR-28</v>
      </c>
      <c r="C11" s="3"/>
      <c r="D11" s="2"/>
      <c r="E11" s="2"/>
      <c r="F11" s="2"/>
    </row>
    <row r="12" spans="2:8" x14ac:dyDescent="0.3">
      <c r="B12" s="1"/>
      <c r="C12" s="2"/>
      <c r="D12" s="2"/>
      <c r="E12" s="2"/>
      <c r="F12" s="2"/>
      <c r="H12" s="24"/>
    </row>
    <row r="13" spans="2:8" x14ac:dyDescent="0.3">
      <c r="B13" s="1"/>
      <c r="C13" s="2"/>
      <c r="D13" s="2"/>
      <c r="E13" s="2"/>
      <c r="F13" s="2"/>
    </row>
    <row r="14" spans="2:8" x14ac:dyDescent="0.3">
      <c r="B14" s="2"/>
      <c r="C14" s="2"/>
      <c r="D14" s="2"/>
      <c r="E14" s="2"/>
      <c r="F14" s="2"/>
    </row>
    <row r="15" spans="2:8" ht="17.399999999999999" x14ac:dyDescent="0.3">
      <c r="B15" s="94" t="s">
        <v>4</v>
      </c>
      <c r="C15" s="95"/>
      <c r="D15" s="95"/>
      <c r="E15" s="95"/>
      <c r="F15" s="96"/>
    </row>
    <row r="16" spans="2:8" x14ac:dyDescent="0.3">
      <c r="B16" s="101" t="s">
        <v>43</v>
      </c>
      <c r="C16" s="101" t="s">
        <v>0</v>
      </c>
      <c r="D16" s="108" t="s">
        <v>1</v>
      </c>
      <c r="E16" s="101" t="s">
        <v>2</v>
      </c>
      <c r="F16" s="102" t="s">
        <v>3</v>
      </c>
    </row>
    <row r="17" spans="2:6" x14ac:dyDescent="0.3">
      <c r="B17" s="102"/>
      <c r="C17" s="102"/>
      <c r="D17" s="103"/>
      <c r="E17" s="102"/>
      <c r="F17" s="105"/>
    </row>
    <row r="18" spans="2:6" x14ac:dyDescent="0.3">
      <c r="B18" s="4" t="s">
        <v>62</v>
      </c>
      <c r="C18" s="6">
        <v>2</v>
      </c>
      <c r="D18" s="61">
        <v>1</v>
      </c>
      <c r="E18" s="6">
        <f>C18*D18</f>
        <v>2</v>
      </c>
      <c r="F18" s="7"/>
    </row>
    <row r="19" spans="2:6" x14ac:dyDescent="0.3">
      <c r="B19" s="8" t="s">
        <v>63</v>
      </c>
      <c r="C19" s="62">
        <v>1</v>
      </c>
      <c r="D19" s="63">
        <v>1</v>
      </c>
      <c r="E19" s="16">
        <f t="shared" ref="E19:E24" si="0">C19*D19</f>
        <v>1</v>
      </c>
      <c r="F19" s="9"/>
    </row>
    <row r="20" spans="2:6" x14ac:dyDescent="0.3">
      <c r="B20" s="10" t="s">
        <v>64</v>
      </c>
      <c r="C20" s="11">
        <v>0.5</v>
      </c>
      <c r="D20" s="64">
        <v>1</v>
      </c>
      <c r="E20" s="11">
        <f t="shared" si="0"/>
        <v>0.5</v>
      </c>
      <c r="F20" s="12"/>
    </row>
    <row r="21" spans="2:6" x14ac:dyDescent="0.3">
      <c r="B21" s="8" t="s">
        <v>65</v>
      </c>
      <c r="C21" s="62">
        <v>0.1</v>
      </c>
      <c r="D21" s="63">
        <v>1</v>
      </c>
      <c r="E21" s="16">
        <f t="shared" si="0"/>
        <v>0.1</v>
      </c>
      <c r="F21" s="9"/>
    </row>
    <row r="22" spans="2:6" x14ac:dyDescent="0.3">
      <c r="B22" s="10"/>
      <c r="C22" s="11"/>
      <c r="D22" s="64"/>
      <c r="E22" s="11">
        <f t="shared" si="0"/>
        <v>0</v>
      </c>
      <c r="F22" s="12"/>
    </row>
    <row r="23" spans="2:6" x14ac:dyDescent="0.3">
      <c r="B23" s="8"/>
      <c r="C23" s="16"/>
      <c r="D23" s="63"/>
      <c r="E23" s="16">
        <f t="shared" si="0"/>
        <v>0</v>
      </c>
      <c r="F23" s="9"/>
    </row>
    <row r="24" spans="2:6" x14ac:dyDescent="0.3">
      <c r="B24" s="22"/>
      <c r="C24" s="21"/>
      <c r="D24" s="74"/>
      <c r="E24" s="21">
        <f t="shared" si="0"/>
        <v>0</v>
      </c>
      <c r="F24" s="23"/>
    </row>
    <row r="25" spans="2:6" x14ac:dyDescent="0.3">
      <c r="B25" s="97" t="s">
        <v>13</v>
      </c>
      <c r="C25" s="97"/>
      <c r="D25" s="97"/>
      <c r="E25" s="15">
        <f>SUM(E18:E24)</f>
        <v>3.6</v>
      </c>
      <c r="F25" s="2"/>
    </row>
    <row r="26" spans="2:6" x14ac:dyDescent="0.3">
      <c r="B26" s="2"/>
      <c r="C26" s="2"/>
      <c r="D26" s="2"/>
      <c r="E26" s="2"/>
      <c r="F26" s="2"/>
    </row>
    <row r="27" spans="2:6" ht="17.399999999999999" x14ac:dyDescent="0.3">
      <c r="B27" s="94" t="s">
        <v>6</v>
      </c>
      <c r="C27" s="95"/>
      <c r="D27" s="95"/>
      <c r="E27" s="95"/>
      <c r="F27" s="96"/>
    </row>
    <row r="28" spans="2:6" x14ac:dyDescent="0.3">
      <c r="B28" s="101" t="s">
        <v>8</v>
      </c>
      <c r="C28" s="101" t="s">
        <v>9</v>
      </c>
      <c r="D28" s="103" t="s">
        <v>10</v>
      </c>
      <c r="E28" s="101" t="s">
        <v>11</v>
      </c>
      <c r="F28" s="102" t="s">
        <v>12</v>
      </c>
    </row>
    <row r="29" spans="2:6" x14ac:dyDescent="0.3">
      <c r="B29" s="102"/>
      <c r="C29" s="102"/>
      <c r="D29" s="104"/>
      <c r="E29" s="102"/>
      <c r="F29" s="105"/>
    </row>
    <row r="30" spans="2:6" x14ac:dyDescent="0.3">
      <c r="B30" s="4" t="s">
        <v>66</v>
      </c>
      <c r="C30" s="69"/>
      <c r="D30" s="6">
        <v>10</v>
      </c>
      <c r="E30" s="6">
        <f>C30*D30</f>
        <v>0</v>
      </c>
      <c r="F30" s="39"/>
    </row>
    <row r="31" spans="2:6" x14ac:dyDescent="0.3">
      <c r="B31" s="8" t="s">
        <v>67</v>
      </c>
      <c r="C31" s="70">
        <v>1</v>
      </c>
      <c r="D31" s="62">
        <v>10</v>
      </c>
      <c r="E31" s="16">
        <f t="shared" ref="E31:E35" si="1">C31*D31</f>
        <v>10</v>
      </c>
      <c r="F31" s="9"/>
    </row>
    <row r="32" spans="2:6" x14ac:dyDescent="0.3">
      <c r="B32" s="10"/>
      <c r="C32" s="71"/>
      <c r="D32" s="11"/>
      <c r="E32" s="11">
        <f t="shared" si="1"/>
        <v>0</v>
      </c>
      <c r="F32" s="9"/>
    </row>
    <row r="33" spans="2:6" x14ac:dyDescent="0.3">
      <c r="B33" s="8"/>
      <c r="C33" s="70"/>
      <c r="D33" s="62"/>
      <c r="E33" s="16">
        <f t="shared" si="1"/>
        <v>0</v>
      </c>
      <c r="F33" s="9"/>
    </row>
    <row r="34" spans="2:6" x14ac:dyDescent="0.3">
      <c r="B34" s="10"/>
      <c r="C34" s="71"/>
      <c r="D34" s="11"/>
      <c r="E34" s="11">
        <f t="shared" si="1"/>
        <v>0</v>
      </c>
      <c r="F34" s="9"/>
    </row>
    <row r="35" spans="2:6" x14ac:dyDescent="0.3">
      <c r="B35" s="13"/>
      <c r="C35" s="72"/>
      <c r="D35" s="68"/>
      <c r="E35" s="17">
        <f t="shared" si="1"/>
        <v>0</v>
      </c>
      <c r="F35" s="40"/>
    </row>
    <row r="36" spans="2:6" x14ac:dyDescent="0.3">
      <c r="B36" s="97" t="s">
        <v>13</v>
      </c>
      <c r="C36" s="97"/>
      <c r="D36" s="97"/>
      <c r="E36" s="18">
        <f>SUM(E30:E35)</f>
        <v>10</v>
      </c>
      <c r="F36" s="2"/>
    </row>
    <row r="37" spans="2:6" x14ac:dyDescent="0.3">
      <c r="B37" s="19"/>
      <c r="C37" s="19"/>
      <c r="D37" s="19"/>
      <c r="E37" s="2"/>
      <c r="F37" s="2"/>
    </row>
    <row r="38" spans="2:6" ht="17.399999999999999" x14ac:dyDescent="0.3">
      <c r="B38" s="94" t="s">
        <v>14</v>
      </c>
      <c r="C38" s="95"/>
      <c r="D38" s="95"/>
      <c r="E38" s="95"/>
      <c r="F38" s="96"/>
    </row>
    <row r="39" spans="2:6" x14ac:dyDescent="0.3">
      <c r="B39" s="101" t="s">
        <v>16</v>
      </c>
      <c r="C39" s="101" t="s">
        <v>17</v>
      </c>
      <c r="D39" s="103" t="s">
        <v>18</v>
      </c>
      <c r="E39" s="101" t="s">
        <v>15</v>
      </c>
      <c r="F39" s="102" t="s">
        <v>12</v>
      </c>
    </row>
    <row r="40" spans="2:6" x14ac:dyDescent="0.3">
      <c r="B40" s="102"/>
      <c r="C40" s="102"/>
      <c r="D40" s="104"/>
      <c r="E40" s="102"/>
      <c r="F40" s="105"/>
    </row>
    <row r="41" spans="2:6" x14ac:dyDescent="0.3">
      <c r="B41" s="4" t="s">
        <v>68</v>
      </c>
      <c r="C41" s="69">
        <v>1</v>
      </c>
      <c r="D41" s="75">
        <v>3</v>
      </c>
      <c r="E41" s="6">
        <f>C41*D41</f>
        <v>3</v>
      </c>
      <c r="F41" s="39"/>
    </row>
    <row r="42" spans="2:6" x14ac:dyDescent="0.3">
      <c r="B42" s="8"/>
      <c r="C42" s="70"/>
      <c r="D42" s="76"/>
      <c r="E42" s="16">
        <f t="shared" ref="E42:E46" si="2">C42*D42</f>
        <v>0</v>
      </c>
      <c r="F42" s="9"/>
    </row>
    <row r="43" spans="2:6" x14ac:dyDescent="0.3">
      <c r="B43" s="10"/>
      <c r="C43" s="71"/>
      <c r="D43" s="77"/>
      <c r="E43" s="11">
        <f t="shared" si="2"/>
        <v>0</v>
      </c>
      <c r="F43" s="9"/>
    </row>
    <row r="44" spans="2:6" x14ac:dyDescent="0.3">
      <c r="B44" s="8"/>
      <c r="C44" s="70"/>
      <c r="D44" s="76"/>
      <c r="E44" s="16">
        <f t="shared" si="2"/>
        <v>0</v>
      </c>
      <c r="F44" s="9"/>
    </row>
    <row r="45" spans="2:6" x14ac:dyDescent="0.3">
      <c r="B45" s="10"/>
      <c r="C45" s="71"/>
      <c r="D45" s="77"/>
      <c r="E45" s="11">
        <f t="shared" si="2"/>
        <v>0</v>
      </c>
      <c r="F45" s="9"/>
    </row>
    <row r="46" spans="2:6" x14ac:dyDescent="0.3">
      <c r="B46" s="13"/>
      <c r="C46" s="72"/>
      <c r="D46" s="78"/>
      <c r="E46" s="17">
        <f t="shared" si="2"/>
        <v>0</v>
      </c>
      <c r="F46" s="40"/>
    </row>
    <row r="47" spans="2:6" x14ac:dyDescent="0.3">
      <c r="B47" s="97" t="s">
        <v>13</v>
      </c>
      <c r="C47" s="97"/>
      <c r="D47" s="97"/>
      <c r="E47" s="18">
        <f>SUM(E41:E46)</f>
        <v>3</v>
      </c>
      <c r="F47" s="2"/>
    </row>
    <row r="49" spans="2:13" ht="17.399999999999999" x14ac:dyDescent="0.3">
      <c r="B49" s="94" t="s">
        <v>34</v>
      </c>
      <c r="C49" s="95"/>
      <c r="D49" s="95"/>
      <c r="E49" s="95"/>
      <c r="F49" s="96"/>
    </row>
    <row r="50" spans="2:13" x14ac:dyDescent="0.3">
      <c r="B50" s="101" t="s">
        <v>35</v>
      </c>
      <c r="C50" s="101" t="s">
        <v>17</v>
      </c>
      <c r="D50" s="103" t="s">
        <v>18</v>
      </c>
      <c r="E50" s="101" t="s">
        <v>36</v>
      </c>
      <c r="F50" s="102" t="s">
        <v>12</v>
      </c>
    </row>
    <row r="51" spans="2:13" x14ac:dyDescent="0.3">
      <c r="B51" s="102"/>
      <c r="C51" s="102"/>
      <c r="D51" s="104"/>
      <c r="E51" s="102"/>
      <c r="F51" s="105"/>
    </row>
    <row r="52" spans="2:13" x14ac:dyDescent="0.3">
      <c r="B52" s="4"/>
      <c r="C52" s="5"/>
      <c r="D52" s="5"/>
      <c r="E52" s="6">
        <f>C52*D52</f>
        <v>0</v>
      </c>
      <c r="F52" s="39"/>
    </row>
    <row r="53" spans="2:13" x14ac:dyDescent="0.3">
      <c r="B53" s="13"/>
      <c r="C53" s="14"/>
      <c r="D53" s="14"/>
      <c r="E53" s="17">
        <f t="shared" ref="E53" si="3">C53*D53</f>
        <v>0</v>
      </c>
      <c r="F53" s="40"/>
    </row>
    <row r="54" spans="2:13" x14ac:dyDescent="0.3">
      <c r="B54" s="97" t="s">
        <v>13</v>
      </c>
      <c r="C54" s="97"/>
      <c r="D54" s="97"/>
      <c r="E54" s="18">
        <f>SUM(E48:E53)</f>
        <v>0</v>
      </c>
      <c r="F54" s="2"/>
    </row>
    <row r="55" spans="2:13" x14ac:dyDescent="0.3">
      <c r="B55" s="2"/>
      <c r="C55" s="2"/>
      <c r="D55" s="2"/>
      <c r="E55" s="20"/>
      <c r="F55" s="2"/>
    </row>
    <row r="56" spans="2:13" ht="17.399999999999999" x14ac:dyDescent="0.35">
      <c r="B56" s="98" t="s">
        <v>37</v>
      </c>
      <c r="C56" s="98"/>
      <c r="D56" s="98"/>
      <c r="E56" s="46">
        <f>E25+E36+E4+E47+E54</f>
        <v>16.600000000000001</v>
      </c>
    </row>
    <row r="57" spans="2:13" ht="17.399999999999999" x14ac:dyDescent="0.35">
      <c r="B57" s="44"/>
      <c r="C57" s="44" t="s">
        <v>30</v>
      </c>
      <c r="D57" s="45">
        <v>1.5</v>
      </c>
      <c r="E57" s="47">
        <f>E56*150%</f>
        <v>24.900000000000002</v>
      </c>
    </row>
    <row r="58" spans="2:13" ht="17.399999999999999" x14ac:dyDescent="0.35">
      <c r="B58" s="44"/>
      <c r="C58" s="44" t="s">
        <v>31</v>
      </c>
      <c r="D58" s="45">
        <v>2</v>
      </c>
      <c r="E58" s="47">
        <f>E56*200%</f>
        <v>33.200000000000003</v>
      </c>
    </row>
    <row r="59" spans="2:13" ht="17.399999999999999" x14ac:dyDescent="0.3">
      <c r="I59" s="99"/>
      <c r="J59" s="99"/>
      <c r="K59" s="99"/>
      <c r="L59" s="99"/>
      <c r="M59" s="99"/>
    </row>
    <row r="60" spans="2:13" ht="17.399999999999999" x14ac:dyDescent="0.3">
      <c r="B60" s="94" t="s">
        <v>28</v>
      </c>
      <c r="C60" s="95"/>
      <c r="D60" s="95"/>
      <c r="E60" s="95"/>
      <c r="F60" s="96"/>
    </row>
    <row r="61" spans="2:13" x14ac:dyDescent="0.3">
      <c r="B61" s="30"/>
      <c r="C61" s="31" t="s">
        <v>29</v>
      </c>
      <c r="D61" s="32"/>
      <c r="E61" s="49">
        <v>2.5</v>
      </c>
      <c r="F61" s="37"/>
    </row>
    <row r="62" spans="2:13" x14ac:dyDescent="0.3">
      <c r="B62" s="26"/>
      <c r="D62" s="27"/>
      <c r="E62" s="36"/>
      <c r="F62" s="38"/>
    </row>
    <row r="63" spans="2:13" x14ac:dyDescent="0.3">
      <c r="B63" s="42"/>
      <c r="C63" s="42"/>
      <c r="D63" s="56" t="s">
        <v>13</v>
      </c>
      <c r="E63" s="42"/>
    </row>
    <row r="64" spans="2:13" x14ac:dyDescent="0.3">
      <c r="D64" s="51"/>
    </row>
    <row r="65" spans="2:6" ht="16.2" thickBot="1" x14ac:dyDescent="0.35">
      <c r="C65" s="100" t="s">
        <v>32</v>
      </c>
      <c r="D65" s="100"/>
      <c r="E65" s="65">
        <f>E58+E61</f>
        <v>35.700000000000003</v>
      </c>
    </row>
    <row r="66" spans="2:6" ht="16.2" thickTop="1" x14ac:dyDescent="0.3"/>
    <row r="67" spans="2:6" ht="17.399999999999999" x14ac:dyDescent="0.3">
      <c r="B67" s="94" t="s">
        <v>78</v>
      </c>
      <c r="C67" s="95"/>
      <c r="D67" s="95"/>
      <c r="E67" s="95"/>
      <c r="F67" s="96"/>
    </row>
    <row r="68" spans="2:6" x14ac:dyDescent="0.3">
      <c r="B68" s="30"/>
      <c r="C68" s="31" t="s">
        <v>76</v>
      </c>
      <c r="D68" s="48">
        <v>0.2</v>
      </c>
      <c r="E68" s="49">
        <v>0</v>
      </c>
      <c r="F68" s="37"/>
    </row>
    <row r="69" spans="2:6" x14ac:dyDescent="0.3">
      <c r="B69" s="26"/>
      <c r="C69" t="s">
        <v>77</v>
      </c>
      <c r="D69" s="27">
        <v>0.05</v>
      </c>
      <c r="E69" s="52">
        <f>E65*0.05</f>
        <v>1.7850000000000001</v>
      </c>
      <c r="F69" s="36"/>
    </row>
    <row r="70" spans="2:6" x14ac:dyDescent="0.3">
      <c r="B70" s="26"/>
      <c r="C70" t="s">
        <v>38</v>
      </c>
      <c r="D70" s="50" t="s">
        <v>40</v>
      </c>
      <c r="E70" s="52">
        <v>0</v>
      </c>
      <c r="F70" s="36"/>
    </row>
    <row r="71" spans="2:6" x14ac:dyDescent="0.3">
      <c r="B71" s="26"/>
      <c r="C71" t="s">
        <v>39</v>
      </c>
      <c r="D71" s="50" t="s">
        <v>42</v>
      </c>
      <c r="E71" s="52">
        <v>0</v>
      </c>
      <c r="F71" s="36"/>
    </row>
    <row r="72" spans="2:6" x14ac:dyDescent="0.3">
      <c r="B72" s="33"/>
      <c r="C72" s="34" t="s">
        <v>19</v>
      </c>
      <c r="D72" s="35">
        <v>0.09</v>
      </c>
      <c r="E72" s="73">
        <f>E65*D72</f>
        <v>3.2130000000000001</v>
      </c>
      <c r="F72" s="38"/>
    </row>
    <row r="73" spans="2:6" x14ac:dyDescent="0.3">
      <c r="B73" s="42"/>
      <c r="C73" s="42"/>
      <c r="D73" s="43" t="s">
        <v>13</v>
      </c>
      <c r="E73" s="47">
        <f>SUM(E68:E72)</f>
        <v>4.9980000000000002</v>
      </c>
    </row>
    <row r="75" spans="2:6" ht="17.399999999999999" x14ac:dyDescent="0.3">
      <c r="B75" s="94" t="s">
        <v>20</v>
      </c>
      <c r="C75" s="95"/>
      <c r="D75" s="95"/>
      <c r="E75" s="95"/>
      <c r="F75" s="96"/>
    </row>
    <row r="76" spans="2:6" x14ac:dyDescent="0.3">
      <c r="B76" s="30"/>
      <c r="C76" s="31" t="s">
        <v>21</v>
      </c>
      <c r="D76" s="32"/>
      <c r="E76" s="49">
        <f>D76</f>
        <v>0</v>
      </c>
      <c r="F76" s="37"/>
    </row>
    <row r="77" spans="2:6" x14ac:dyDescent="0.3">
      <c r="B77" s="26"/>
      <c r="C77" t="s">
        <v>22</v>
      </c>
      <c r="D77" s="57"/>
      <c r="E77" s="52">
        <f>D77</f>
        <v>0</v>
      </c>
      <c r="F77" s="36"/>
    </row>
    <row r="78" spans="2:6" x14ac:dyDescent="0.3">
      <c r="B78" s="41"/>
      <c r="C78" s="29" t="s">
        <v>25</v>
      </c>
      <c r="D78" s="58"/>
      <c r="E78" s="53">
        <f>D78</f>
        <v>0</v>
      </c>
      <c r="F78" s="36"/>
    </row>
    <row r="79" spans="2:6" x14ac:dyDescent="0.3">
      <c r="B79" s="28"/>
      <c r="C79" s="25" t="s">
        <v>24</v>
      </c>
      <c r="D79" s="59"/>
      <c r="E79" s="54">
        <f>D79</f>
        <v>0</v>
      </c>
      <c r="F79" s="38"/>
    </row>
    <row r="80" spans="2:6" x14ac:dyDescent="0.3">
      <c r="B80" s="42"/>
      <c r="C80" s="42"/>
      <c r="D80" s="43" t="s">
        <v>13</v>
      </c>
      <c r="E80" s="55">
        <f>SUM(E76:E79)</f>
        <v>0</v>
      </c>
    </row>
    <row r="81" spans="4:5" ht="16.2" thickBot="1" x14ac:dyDescent="0.35"/>
    <row r="82" spans="4:5" ht="16.2" thickBot="1" x14ac:dyDescent="0.35">
      <c r="D82" s="66" t="s">
        <v>44</v>
      </c>
      <c r="E82" s="67">
        <f>E80+E73+E58</f>
        <v>38.198</v>
      </c>
    </row>
  </sheetData>
  <mergeCells count="39">
    <mergeCell ref="B25:D25"/>
    <mergeCell ref="B1:F1"/>
    <mergeCell ref="E7:F7"/>
    <mergeCell ref="E8:F8"/>
    <mergeCell ref="E9:F9"/>
    <mergeCell ref="E10:F10"/>
    <mergeCell ref="B15:F15"/>
    <mergeCell ref="B16:B17"/>
    <mergeCell ref="C16:C17"/>
    <mergeCell ref="D16:D17"/>
    <mergeCell ref="E16:E17"/>
    <mergeCell ref="F16:F17"/>
    <mergeCell ref="B27:F27"/>
    <mergeCell ref="B28:B29"/>
    <mergeCell ref="C28:C29"/>
    <mergeCell ref="D28:D29"/>
    <mergeCell ref="E28:E29"/>
    <mergeCell ref="F28:F29"/>
    <mergeCell ref="B36:D36"/>
    <mergeCell ref="B38:F38"/>
    <mergeCell ref="B39:B40"/>
    <mergeCell ref="C39:C40"/>
    <mergeCell ref="D39:D40"/>
    <mergeCell ref="E39:E40"/>
    <mergeCell ref="F39:F40"/>
    <mergeCell ref="B47:D47"/>
    <mergeCell ref="B49:F49"/>
    <mergeCell ref="B50:B51"/>
    <mergeCell ref="C50:C51"/>
    <mergeCell ref="D50:D51"/>
    <mergeCell ref="E50:E51"/>
    <mergeCell ref="F50:F51"/>
    <mergeCell ref="B75:F75"/>
    <mergeCell ref="B54:D54"/>
    <mergeCell ref="B56:D56"/>
    <mergeCell ref="I59:M59"/>
    <mergeCell ref="B60:F60"/>
    <mergeCell ref="C65:D65"/>
    <mergeCell ref="B67:F67"/>
  </mergeCells>
  <pageMargins left="0.25" right="0.25" top="0.75" bottom="0.75" header="0.3" footer="0.3"/>
  <pageSetup scale="50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D2379-A747-413E-9B63-53B30A5FA599}">
  <sheetPr>
    <pageSetUpPr fitToPage="1"/>
  </sheetPr>
  <dimension ref="B1:M82"/>
  <sheetViews>
    <sheetView showGridLines="0" zoomScale="75" zoomScaleNormal="75" zoomScalePageLayoutView="75" workbookViewId="0">
      <selection sqref="A1:F83"/>
    </sheetView>
  </sheetViews>
  <sheetFormatPr defaultColWidth="11" defaultRowHeight="15.6" x14ac:dyDescent="0.3"/>
  <cols>
    <col min="1" max="1" width="3.09765625" customWidth="1"/>
    <col min="2" max="2" width="27" customWidth="1"/>
    <col min="3" max="3" width="14.09765625" customWidth="1"/>
    <col min="4" max="4" width="14.59765625" customWidth="1"/>
    <col min="5" max="5" width="11" customWidth="1"/>
    <col min="6" max="6" width="24.3984375" customWidth="1"/>
  </cols>
  <sheetData>
    <row r="1" spans="2:8" ht="28.2" x14ac:dyDescent="0.5">
      <c r="B1" s="106" t="s">
        <v>33</v>
      </c>
      <c r="C1" s="106"/>
      <c r="D1" s="106"/>
      <c r="E1" s="106"/>
      <c r="F1" s="106"/>
    </row>
    <row r="2" spans="2:8" ht="14.1" customHeight="1" x14ac:dyDescent="0.5">
      <c r="B2" s="60"/>
      <c r="C2" s="60"/>
      <c r="D2" s="60"/>
      <c r="E2" s="60"/>
      <c r="F2" s="60"/>
    </row>
    <row r="4" spans="2:8" x14ac:dyDescent="0.3">
      <c r="B4" s="1" t="s">
        <v>7</v>
      </c>
      <c r="C4" s="2"/>
      <c r="D4" s="2"/>
      <c r="E4" s="2"/>
      <c r="F4" s="2"/>
    </row>
    <row r="5" spans="2:8" x14ac:dyDescent="0.3">
      <c r="B5" s="3" t="s">
        <v>53</v>
      </c>
      <c r="C5" s="3"/>
      <c r="D5" s="2"/>
      <c r="E5" s="2"/>
      <c r="F5" s="2"/>
    </row>
    <row r="6" spans="2:8" x14ac:dyDescent="0.3">
      <c r="B6" s="2"/>
      <c r="C6" s="2"/>
      <c r="D6" s="2"/>
      <c r="E6" s="2"/>
      <c r="F6" s="2"/>
    </row>
    <row r="7" spans="2:8" x14ac:dyDescent="0.3">
      <c r="B7" s="1" t="s">
        <v>60</v>
      </c>
      <c r="C7" s="2"/>
      <c r="D7" s="2"/>
      <c r="E7" s="107"/>
      <c r="F7" s="107"/>
    </row>
    <row r="8" spans="2:8" x14ac:dyDescent="0.3">
      <c r="B8" s="3" t="s">
        <v>61</v>
      </c>
      <c r="C8" s="3"/>
      <c r="D8" s="2"/>
      <c r="E8" s="107"/>
      <c r="F8" s="107"/>
    </row>
    <row r="9" spans="2:8" x14ac:dyDescent="0.3">
      <c r="B9" s="2"/>
      <c r="C9" s="2"/>
      <c r="D9" s="2"/>
      <c r="E9" s="107"/>
      <c r="F9" s="107"/>
    </row>
    <row r="10" spans="2:8" x14ac:dyDescent="0.3">
      <c r="B10" s="1" t="s">
        <v>5</v>
      </c>
      <c r="C10" s="2"/>
      <c r="D10" s="2"/>
      <c r="E10" s="107"/>
      <c r="F10" s="107"/>
    </row>
    <row r="11" spans="2:8" x14ac:dyDescent="0.3">
      <c r="B11" s="3" t="str">
        <f>'SKU Generator'!F4</f>
        <v>PEN-POL-TOR-28</v>
      </c>
      <c r="C11" s="3"/>
      <c r="D11" s="2"/>
      <c r="E11" s="2"/>
      <c r="F11" s="2"/>
    </row>
    <row r="12" spans="2:8" x14ac:dyDescent="0.3">
      <c r="B12" s="1"/>
      <c r="C12" s="2"/>
      <c r="D12" s="2"/>
      <c r="E12" s="2"/>
      <c r="F12" s="2"/>
      <c r="H12" s="24"/>
    </row>
    <row r="13" spans="2:8" x14ac:dyDescent="0.3">
      <c r="B13" s="1"/>
      <c r="C13" s="2"/>
      <c r="D13" s="2"/>
      <c r="E13" s="2"/>
      <c r="F13" s="2"/>
    </row>
    <row r="14" spans="2:8" x14ac:dyDescent="0.3">
      <c r="B14" s="2"/>
      <c r="C14" s="2"/>
      <c r="D14" s="2"/>
      <c r="E14" s="2"/>
      <c r="F14" s="2"/>
    </row>
    <row r="15" spans="2:8" ht="17.399999999999999" x14ac:dyDescent="0.3">
      <c r="B15" s="94" t="s">
        <v>4</v>
      </c>
      <c r="C15" s="95"/>
      <c r="D15" s="95"/>
      <c r="E15" s="95"/>
      <c r="F15" s="96"/>
    </row>
    <row r="16" spans="2:8" x14ac:dyDescent="0.3">
      <c r="B16" s="101" t="s">
        <v>43</v>
      </c>
      <c r="C16" s="101" t="s">
        <v>0</v>
      </c>
      <c r="D16" s="108" t="s">
        <v>1</v>
      </c>
      <c r="E16" s="101" t="s">
        <v>2</v>
      </c>
      <c r="F16" s="102" t="s">
        <v>3</v>
      </c>
    </row>
    <row r="17" spans="2:6" x14ac:dyDescent="0.3">
      <c r="B17" s="102"/>
      <c r="C17" s="102"/>
      <c r="D17" s="103"/>
      <c r="E17" s="102"/>
      <c r="F17" s="105"/>
    </row>
    <row r="18" spans="2:6" x14ac:dyDescent="0.3">
      <c r="B18" s="4"/>
      <c r="C18" s="6"/>
      <c r="D18" s="61"/>
      <c r="E18" s="6">
        <f>C18*D18</f>
        <v>0</v>
      </c>
      <c r="F18" s="7"/>
    </row>
    <row r="19" spans="2:6" x14ac:dyDescent="0.3">
      <c r="B19" s="8"/>
      <c r="C19" s="62"/>
      <c r="D19" s="63"/>
      <c r="E19" s="16">
        <f t="shared" ref="E19:E24" si="0">C19*D19</f>
        <v>0</v>
      </c>
      <c r="F19" s="9"/>
    </row>
    <row r="20" spans="2:6" x14ac:dyDescent="0.3">
      <c r="B20" s="10"/>
      <c r="C20" s="11"/>
      <c r="D20" s="64"/>
      <c r="E20" s="11">
        <f t="shared" si="0"/>
        <v>0</v>
      </c>
      <c r="F20" s="12"/>
    </row>
    <row r="21" spans="2:6" x14ac:dyDescent="0.3">
      <c r="B21" s="8"/>
      <c r="C21" s="62"/>
      <c r="D21" s="63"/>
      <c r="E21" s="16">
        <f t="shared" si="0"/>
        <v>0</v>
      </c>
      <c r="F21" s="9"/>
    </row>
    <row r="22" spans="2:6" x14ac:dyDescent="0.3">
      <c r="B22" s="10"/>
      <c r="C22" s="11"/>
      <c r="D22" s="64"/>
      <c r="E22" s="11">
        <f t="shared" si="0"/>
        <v>0</v>
      </c>
      <c r="F22" s="12"/>
    </row>
    <row r="23" spans="2:6" x14ac:dyDescent="0.3">
      <c r="B23" s="8"/>
      <c r="C23" s="16"/>
      <c r="D23" s="63"/>
      <c r="E23" s="16">
        <f t="shared" si="0"/>
        <v>0</v>
      </c>
      <c r="F23" s="9"/>
    </row>
    <row r="24" spans="2:6" x14ac:dyDescent="0.3">
      <c r="B24" s="22"/>
      <c r="C24" s="21"/>
      <c r="D24" s="74"/>
      <c r="E24" s="21">
        <f t="shared" si="0"/>
        <v>0</v>
      </c>
      <c r="F24" s="23"/>
    </row>
    <row r="25" spans="2:6" x14ac:dyDescent="0.3">
      <c r="B25" s="97" t="s">
        <v>13</v>
      </c>
      <c r="C25" s="97"/>
      <c r="D25" s="97"/>
      <c r="E25" s="15">
        <f>SUM(E18:E24)</f>
        <v>0</v>
      </c>
      <c r="F25" s="2"/>
    </row>
    <row r="26" spans="2:6" x14ac:dyDescent="0.3">
      <c r="B26" s="2"/>
      <c r="C26" s="2"/>
      <c r="D26" s="2"/>
      <c r="E26" s="2"/>
      <c r="F26" s="2"/>
    </row>
    <row r="27" spans="2:6" ht="17.399999999999999" x14ac:dyDescent="0.3">
      <c r="B27" s="94" t="s">
        <v>6</v>
      </c>
      <c r="C27" s="95"/>
      <c r="D27" s="95"/>
      <c r="E27" s="95"/>
      <c r="F27" s="96"/>
    </row>
    <row r="28" spans="2:6" x14ac:dyDescent="0.3">
      <c r="B28" s="101" t="s">
        <v>8</v>
      </c>
      <c r="C28" s="101" t="s">
        <v>9</v>
      </c>
      <c r="D28" s="103" t="s">
        <v>10</v>
      </c>
      <c r="E28" s="101" t="s">
        <v>11</v>
      </c>
      <c r="F28" s="102" t="s">
        <v>12</v>
      </c>
    </row>
    <row r="29" spans="2:6" x14ac:dyDescent="0.3">
      <c r="B29" s="102"/>
      <c r="C29" s="102"/>
      <c r="D29" s="104"/>
      <c r="E29" s="102"/>
      <c r="F29" s="105"/>
    </row>
    <row r="30" spans="2:6" x14ac:dyDescent="0.3">
      <c r="B30" s="4"/>
      <c r="C30" s="69"/>
      <c r="D30" s="6"/>
      <c r="E30" s="6">
        <f>C30*D30</f>
        <v>0</v>
      </c>
      <c r="F30" s="39"/>
    </row>
    <row r="31" spans="2:6" x14ac:dyDescent="0.3">
      <c r="B31" s="8"/>
      <c r="C31" s="70"/>
      <c r="D31" s="62"/>
      <c r="E31" s="16">
        <f t="shared" ref="E31:E35" si="1">C31*D31</f>
        <v>0</v>
      </c>
      <c r="F31" s="9"/>
    </row>
    <row r="32" spans="2:6" x14ac:dyDescent="0.3">
      <c r="B32" s="10"/>
      <c r="C32" s="71"/>
      <c r="D32" s="11"/>
      <c r="E32" s="11">
        <f t="shared" si="1"/>
        <v>0</v>
      </c>
      <c r="F32" s="9"/>
    </row>
    <row r="33" spans="2:6" x14ac:dyDescent="0.3">
      <c r="B33" s="8"/>
      <c r="C33" s="70"/>
      <c r="D33" s="62"/>
      <c r="E33" s="16">
        <f t="shared" si="1"/>
        <v>0</v>
      </c>
      <c r="F33" s="9"/>
    </row>
    <row r="34" spans="2:6" x14ac:dyDescent="0.3">
      <c r="B34" s="10"/>
      <c r="C34" s="71"/>
      <c r="D34" s="11"/>
      <c r="E34" s="11">
        <f t="shared" si="1"/>
        <v>0</v>
      </c>
      <c r="F34" s="9"/>
    </row>
    <row r="35" spans="2:6" x14ac:dyDescent="0.3">
      <c r="B35" s="13"/>
      <c r="C35" s="72"/>
      <c r="D35" s="68"/>
      <c r="E35" s="17">
        <f t="shared" si="1"/>
        <v>0</v>
      </c>
      <c r="F35" s="40"/>
    </row>
    <row r="36" spans="2:6" x14ac:dyDescent="0.3">
      <c r="B36" s="97" t="s">
        <v>13</v>
      </c>
      <c r="C36" s="97"/>
      <c r="D36" s="97"/>
      <c r="E36" s="18">
        <f>SUM(E30:E35)</f>
        <v>0</v>
      </c>
      <c r="F36" s="2"/>
    </row>
    <row r="37" spans="2:6" x14ac:dyDescent="0.3">
      <c r="B37" s="19"/>
      <c r="C37" s="19"/>
      <c r="D37" s="19"/>
      <c r="E37" s="2"/>
      <c r="F37" s="2"/>
    </row>
    <row r="38" spans="2:6" ht="17.399999999999999" x14ac:dyDescent="0.3">
      <c r="B38" s="94" t="s">
        <v>14</v>
      </c>
      <c r="C38" s="95"/>
      <c r="D38" s="95"/>
      <c r="E38" s="95"/>
      <c r="F38" s="96"/>
    </row>
    <row r="39" spans="2:6" x14ac:dyDescent="0.3">
      <c r="B39" s="101" t="s">
        <v>16</v>
      </c>
      <c r="C39" s="101" t="s">
        <v>17</v>
      </c>
      <c r="D39" s="103" t="s">
        <v>18</v>
      </c>
      <c r="E39" s="101" t="s">
        <v>15</v>
      </c>
      <c r="F39" s="102" t="s">
        <v>12</v>
      </c>
    </row>
    <row r="40" spans="2:6" x14ac:dyDescent="0.3">
      <c r="B40" s="102"/>
      <c r="C40" s="102"/>
      <c r="D40" s="104"/>
      <c r="E40" s="102"/>
      <c r="F40" s="105"/>
    </row>
    <row r="41" spans="2:6" x14ac:dyDescent="0.3">
      <c r="B41" s="4"/>
      <c r="C41" s="69"/>
      <c r="D41" s="75"/>
      <c r="E41" s="6">
        <f>C41*D41</f>
        <v>0</v>
      </c>
      <c r="F41" s="39"/>
    </row>
    <row r="42" spans="2:6" x14ac:dyDescent="0.3">
      <c r="B42" s="8"/>
      <c r="C42" s="70"/>
      <c r="D42" s="76"/>
      <c r="E42" s="16">
        <f t="shared" ref="E42:E46" si="2">C42*D42</f>
        <v>0</v>
      </c>
      <c r="F42" s="9"/>
    </row>
    <row r="43" spans="2:6" x14ac:dyDescent="0.3">
      <c r="B43" s="10"/>
      <c r="C43" s="71"/>
      <c r="D43" s="77"/>
      <c r="E43" s="11">
        <f t="shared" si="2"/>
        <v>0</v>
      </c>
      <c r="F43" s="9"/>
    </row>
    <row r="44" spans="2:6" x14ac:dyDescent="0.3">
      <c r="B44" s="8"/>
      <c r="C44" s="70"/>
      <c r="D44" s="76"/>
      <c r="E44" s="16">
        <f t="shared" si="2"/>
        <v>0</v>
      </c>
      <c r="F44" s="9"/>
    </row>
    <row r="45" spans="2:6" x14ac:dyDescent="0.3">
      <c r="B45" s="10"/>
      <c r="C45" s="71"/>
      <c r="D45" s="77"/>
      <c r="E45" s="11">
        <f t="shared" si="2"/>
        <v>0</v>
      </c>
      <c r="F45" s="9"/>
    </row>
    <row r="46" spans="2:6" x14ac:dyDescent="0.3">
      <c r="B46" s="13"/>
      <c r="C46" s="72"/>
      <c r="D46" s="78"/>
      <c r="E46" s="17">
        <f t="shared" si="2"/>
        <v>0</v>
      </c>
      <c r="F46" s="40"/>
    </row>
    <row r="47" spans="2:6" x14ac:dyDescent="0.3">
      <c r="B47" s="97" t="s">
        <v>13</v>
      </c>
      <c r="C47" s="97"/>
      <c r="D47" s="97"/>
      <c r="E47" s="18">
        <f>SUM(E41:E46)</f>
        <v>0</v>
      </c>
      <c r="F47" s="2"/>
    </row>
    <row r="49" spans="2:13" ht="17.399999999999999" x14ac:dyDescent="0.3">
      <c r="B49" s="94" t="s">
        <v>34</v>
      </c>
      <c r="C49" s="95"/>
      <c r="D49" s="95"/>
      <c r="E49" s="95"/>
      <c r="F49" s="96"/>
    </row>
    <row r="50" spans="2:13" x14ac:dyDescent="0.3">
      <c r="B50" s="101" t="s">
        <v>35</v>
      </c>
      <c r="C50" s="101" t="s">
        <v>17</v>
      </c>
      <c r="D50" s="103" t="s">
        <v>18</v>
      </c>
      <c r="E50" s="101" t="s">
        <v>36</v>
      </c>
      <c r="F50" s="102" t="s">
        <v>12</v>
      </c>
    </row>
    <row r="51" spans="2:13" x14ac:dyDescent="0.3">
      <c r="B51" s="102"/>
      <c r="C51" s="102"/>
      <c r="D51" s="104"/>
      <c r="E51" s="102"/>
      <c r="F51" s="105"/>
    </row>
    <row r="52" spans="2:13" x14ac:dyDescent="0.3">
      <c r="B52" s="4"/>
      <c r="C52" s="5"/>
      <c r="D52" s="5"/>
      <c r="E52" s="6">
        <f>C52*D52</f>
        <v>0</v>
      </c>
      <c r="F52" s="39"/>
    </row>
    <row r="53" spans="2:13" x14ac:dyDescent="0.3">
      <c r="B53" s="13"/>
      <c r="C53" s="14"/>
      <c r="D53" s="14"/>
      <c r="E53" s="17">
        <f t="shared" ref="E53" si="3">C53*D53</f>
        <v>0</v>
      </c>
      <c r="F53" s="40"/>
    </row>
    <row r="54" spans="2:13" x14ac:dyDescent="0.3">
      <c r="B54" s="97" t="s">
        <v>13</v>
      </c>
      <c r="C54" s="97"/>
      <c r="D54" s="97"/>
      <c r="E54" s="18">
        <f>SUM(E48:E53)</f>
        <v>0</v>
      </c>
      <c r="F54" s="2"/>
    </row>
    <row r="55" spans="2:13" x14ac:dyDescent="0.3">
      <c r="B55" s="2"/>
      <c r="C55" s="2"/>
      <c r="D55" s="2"/>
      <c r="E55" s="20"/>
      <c r="F55" s="2"/>
    </row>
    <row r="56" spans="2:13" ht="17.399999999999999" x14ac:dyDescent="0.35">
      <c r="B56" s="98" t="s">
        <v>37</v>
      </c>
      <c r="C56" s="98"/>
      <c r="D56" s="98"/>
      <c r="E56" s="46">
        <f>E25+E36+E4+E47+E54</f>
        <v>0</v>
      </c>
    </row>
    <row r="57" spans="2:13" ht="17.399999999999999" x14ac:dyDescent="0.35">
      <c r="B57" s="44"/>
      <c r="C57" s="44" t="s">
        <v>30</v>
      </c>
      <c r="D57" s="45">
        <v>1.5</v>
      </c>
      <c r="E57" s="47">
        <f>E56*150%</f>
        <v>0</v>
      </c>
    </row>
    <row r="58" spans="2:13" ht="17.399999999999999" x14ac:dyDescent="0.35">
      <c r="B58" s="44"/>
      <c r="C58" s="44" t="s">
        <v>31</v>
      </c>
      <c r="D58" s="45">
        <v>2</v>
      </c>
      <c r="E58" s="47">
        <f>E56*200%</f>
        <v>0</v>
      </c>
    </row>
    <row r="59" spans="2:13" ht="17.399999999999999" x14ac:dyDescent="0.3">
      <c r="I59" s="99"/>
      <c r="J59" s="99"/>
      <c r="K59" s="99"/>
      <c r="L59" s="99"/>
      <c r="M59" s="99"/>
    </row>
    <row r="60" spans="2:13" ht="17.399999999999999" x14ac:dyDescent="0.3">
      <c r="B60" s="94" t="s">
        <v>28</v>
      </c>
      <c r="C60" s="95"/>
      <c r="D60" s="95"/>
      <c r="E60" s="95"/>
      <c r="F60" s="96"/>
    </row>
    <row r="61" spans="2:13" x14ac:dyDescent="0.3">
      <c r="B61" s="30"/>
      <c r="C61" s="31" t="s">
        <v>29</v>
      </c>
      <c r="D61" s="32"/>
      <c r="E61" s="49"/>
      <c r="F61" s="37"/>
    </row>
    <row r="62" spans="2:13" x14ac:dyDescent="0.3">
      <c r="B62" s="26"/>
      <c r="D62" s="27"/>
      <c r="E62" s="36"/>
      <c r="F62" s="38"/>
    </row>
    <row r="63" spans="2:13" x14ac:dyDescent="0.3">
      <c r="B63" s="42"/>
      <c r="C63" s="42"/>
      <c r="D63" s="56" t="s">
        <v>13</v>
      </c>
      <c r="E63" s="42"/>
    </row>
    <row r="64" spans="2:13" x14ac:dyDescent="0.3">
      <c r="D64" s="51"/>
    </row>
    <row r="65" spans="2:6" ht="16.2" thickBot="1" x14ac:dyDescent="0.35">
      <c r="C65" s="100" t="s">
        <v>32</v>
      </c>
      <c r="D65" s="100"/>
      <c r="E65" s="65">
        <f>E58+E61</f>
        <v>0</v>
      </c>
    </row>
    <row r="66" spans="2:6" ht="16.2" thickTop="1" x14ac:dyDescent="0.3"/>
    <row r="67" spans="2:6" ht="17.399999999999999" x14ac:dyDescent="0.3">
      <c r="B67" s="94" t="s">
        <v>23</v>
      </c>
      <c r="C67" s="95"/>
      <c r="D67" s="95"/>
      <c r="E67" s="95"/>
      <c r="F67" s="96"/>
    </row>
    <row r="68" spans="2:6" x14ac:dyDescent="0.3">
      <c r="B68" s="30"/>
      <c r="C68" s="31" t="s">
        <v>26</v>
      </c>
      <c r="D68" s="48">
        <v>0.2</v>
      </c>
      <c r="E68" s="49">
        <v>0</v>
      </c>
      <c r="F68" s="37"/>
    </row>
    <row r="69" spans="2:6" x14ac:dyDescent="0.3">
      <c r="B69" s="26"/>
      <c r="C69" t="s">
        <v>41</v>
      </c>
      <c r="D69" s="27" t="s">
        <v>27</v>
      </c>
      <c r="E69" s="52">
        <f>E65*0.05</f>
        <v>0</v>
      </c>
      <c r="F69" s="36"/>
    </row>
    <row r="70" spans="2:6" x14ac:dyDescent="0.3">
      <c r="B70" s="26"/>
      <c r="C70" t="s">
        <v>38</v>
      </c>
      <c r="D70" s="50" t="s">
        <v>40</v>
      </c>
      <c r="E70" s="52">
        <v>0</v>
      </c>
      <c r="F70" s="36"/>
    </row>
    <row r="71" spans="2:6" x14ac:dyDescent="0.3">
      <c r="B71" s="26"/>
      <c r="C71" t="s">
        <v>39</v>
      </c>
      <c r="D71" s="50" t="s">
        <v>42</v>
      </c>
      <c r="E71" s="52">
        <v>0</v>
      </c>
      <c r="F71" s="36"/>
    </row>
    <row r="72" spans="2:6" x14ac:dyDescent="0.3">
      <c r="B72" s="33"/>
      <c r="C72" s="34" t="s">
        <v>19</v>
      </c>
      <c r="D72" s="35">
        <v>0.06</v>
      </c>
      <c r="E72" s="73">
        <v>0</v>
      </c>
      <c r="F72" s="38"/>
    </row>
    <row r="73" spans="2:6" x14ac:dyDescent="0.3">
      <c r="B73" s="42"/>
      <c r="C73" s="42"/>
      <c r="D73" s="43" t="s">
        <v>13</v>
      </c>
      <c r="E73" s="47">
        <f>SUM(E68:E72)</f>
        <v>0</v>
      </c>
    </row>
    <row r="75" spans="2:6" ht="17.399999999999999" x14ac:dyDescent="0.3">
      <c r="B75" s="94" t="s">
        <v>20</v>
      </c>
      <c r="C75" s="95"/>
      <c r="D75" s="95"/>
      <c r="E75" s="95"/>
      <c r="F75" s="96"/>
    </row>
    <row r="76" spans="2:6" x14ac:dyDescent="0.3">
      <c r="B76" s="30"/>
      <c r="C76" s="31" t="s">
        <v>21</v>
      </c>
      <c r="D76" s="32"/>
      <c r="E76" s="49">
        <f>D76</f>
        <v>0</v>
      </c>
      <c r="F76" s="37"/>
    </row>
    <row r="77" spans="2:6" x14ac:dyDescent="0.3">
      <c r="B77" s="26"/>
      <c r="C77" t="s">
        <v>22</v>
      </c>
      <c r="D77" s="57"/>
      <c r="E77" s="52">
        <f>D77</f>
        <v>0</v>
      </c>
      <c r="F77" s="36"/>
    </row>
    <row r="78" spans="2:6" x14ac:dyDescent="0.3">
      <c r="B78" s="41"/>
      <c r="C78" s="29" t="s">
        <v>25</v>
      </c>
      <c r="D78" s="58"/>
      <c r="E78" s="53">
        <f>D78</f>
        <v>0</v>
      </c>
      <c r="F78" s="36"/>
    </row>
    <row r="79" spans="2:6" x14ac:dyDescent="0.3">
      <c r="B79" s="28"/>
      <c r="C79" s="25" t="s">
        <v>24</v>
      </c>
      <c r="D79" s="59"/>
      <c r="E79" s="54">
        <f>D79</f>
        <v>0</v>
      </c>
      <c r="F79" s="38"/>
    </row>
    <row r="80" spans="2:6" x14ac:dyDescent="0.3">
      <c r="B80" s="42"/>
      <c r="C80" s="42"/>
      <c r="D80" s="43" t="s">
        <v>13</v>
      </c>
      <c r="E80" s="55">
        <f>SUM(E76:E79)</f>
        <v>0</v>
      </c>
    </row>
    <row r="81" spans="4:5" ht="16.2" thickBot="1" x14ac:dyDescent="0.35"/>
    <row r="82" spans="4:5" ht="16.2" thickBot="1" x14ac:dyDescent="0.35">
      <c r="D82" s="66" t="s">
        <v>44</v>
      </c>
      <c r="E82" s="67">
        <f>E80+E73+E58</f>
        <v>0</v>
      </c>
    </row>
  </sheetData>
  <mergeCells count="39">
    <mergeCell ref="B25:D25"/>
    <mergeCell ref="B1:F1"/>
    <mergeCell ref="E7:F7"/>
    <mergeCell ref="E8:F8"/>
    <mergeCell ref="E9:F9"/>
    <mergeCell ref="E10:F10"/>
    <mergeCell ref="B15:F15"/>
    <mergeCell ref="B16:B17"/>
    <mergeCell ref="C16:C17"/>
    <mergeCell ref="D16:D17"/>
    <mergeCell ref="E16:E17"/>
    <mergeCell ref="F16:F17"/>
    <mergeCell ref="B27:F27"/>
    <mergeCell ref="B28:B29"/>
    <mergeCell ref="C28:C29"/>
    <mergeCell ref="D28:D29"/>
    <mergeCell ref="E28:E29"/>
    <mergeCell ref="F28:F29"/>
    <mergeCell ref="B36:D36"/>
    <mergeCell ref="B38:F38"/>
    <mergeCell ref="B39:B40"/>
    <mergeCell ref="C39:C40"/>
    <mergeCell ref="D39:D40"/>
    <mergeCell ref="E39:E40"/>
    <mergeCell ref="F39:F40"/>
    <mergeCell ref="B47:D47"/>
    <mergeCell ref="B49:F49"/>
    <mergeCell ref="B50:B51"/>
    <mergeCell ref="C50:C51"/>
    <mergeCell ref="D50:D51"/>
    <mergeCell ref="E50:E51"/>
    <mergeCell ref="F50:F51"/>
    <mergeCell ref="B75:F75"/>
    <mergeCell ref="B54:D54"/>
    <mergeCell ref="B56:D56"/>
    <mergeCell ref="I59:M59"/>
    <mergeCell ref="B60:F60"/>
    <mergeCell ref="C65:D65"/>
    <mergeCell ref="B67:F67"/>
  </mergeCells>
  <pageMargins left="0.25" right="0.25" top="0.75" bottom="0.75" header="0.3" footer="0.3"/>
  <pageSetup scale="50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B1508-6248-4AD0-BFAF-7BF4016ED32B}">
  <dimension ref="A1:F29"/>
  <sheetViews>
    <sheetView workbookViewId="0">
      <selection activeCell="B1" sqref="B1"/>
    </sheetView>
  </sheetViews>
  <sheetFormatPr defaultRowHeight="15.6" x14ac:dyDescent="0.3"/>
  <cols>
    <col min="1" max="1" width="1.8984375" customWidth="1"/>
    <col min="2" max="2" width="26.8984375" customWidth="1"/>
    <col min="3" max="3" width="17.59765625" customWidth="1"/>
    <col min="4" max="4" width="18" customWidth="1"/>
    <col min="5" max="5" width="16.59765625" customWidth="1"/>
    <col min="6" max="6" width="36" customWidth="1"/>
  </cols>
  <sheetData>
    <row r="1" spans="1:6" ht="16.2" x14ac:dyDescent="0.35">
      <c r="A1" s="79"/>
      <c r="B1" s="80"/>
      <c r="C1" s="79"/>
      <c r="D1" s="79"/>
      <c r="E1" s="79"/>
      <c r="F1" s="79"/>
    </row>
    <row r="2" spans="1:6" ht="16.2" x14ac:dyDescent="0.35">
      <c r="A2" s="79"/>
      <c r="B2" s="81" t="s">
        <v>45</v>
      </c>
      <c r="C2" s="81" t="s">
        <v>94</v>
      </c>
      <c r="D2" s="81" t="s">
        <v>47</v>
      </c>
      <c r="E2" s="81" t="s">
        <v>48</v>
      </c>
      <c r="F2" s="82" t="s">
        <v>49</v>
      </c>
    </row>
    <row r="3" spans="1:6" ht="16.2" x14ac:dyDescent="0.35">
      <c r="A3" s="83"/>
      <c r="B3" s="84"/>
      <c r="C3" s="81" t="s">
        <v>46</v>
      </c>
      <c r="D3" s="84" t="s">
        <v>50</v>
      </c>
      <c r="E3" s="84" t="s">
        <v>51</v>
      </c>
      <c r="F3" s="85" t="s">
        <v>52</v>
      </c>
    </row>
    <row r="4" spans="1:6" ht="16.2" x14ac:dyDescent="0.35">
      <c r="A4" s="79"/>
      <c r="B4" s="86" t="s">
        <v>53</v>
      </c>
      <c r="C4" s="86" t="s">
        <v>62</v>
      </c>
      <c r="D4" s="86" t="s">
        <v>54</v>
      </c>
      <c r="E4" s="86">
        <v>28</v>
      </c>
      <c r="F4" s="87" t="str">
        <f>TRIM(UPPER(LEFT(B4,3)))&amp;IF(ISBLANK(C4),"","-")&amp;TRIM(UPPER(LEFT(C4,3)))&amp;IF(ISBLANK(D4),"","-")&amp;TRIM(UPPER(LEFT(D4,3)))&amp;IF(ISBLANK(E4),"","-")&amp;TRIM(UPPER(LEFT(E4,3)))</f>
        <v>PEN-POL-TOR-28</v>
      </c>
    </row>
    <row r="5" spans="1:6" ht="16.2" x14ac:dyDescent="0.35">
      <c r="A5" s="79"/>
      <c r="B5" s="88" t="s">
        <v>55</v>
      </c>
      <c r="C5" s="86" t="s">
        <v>62</v>
      </c>
      <c r="D5" s="88" t="s">
        <v>56</v>
      </c>
      <c r="E5" s="88" t="s">
        <v>57</v>
      </c>
      <c r="F5" s="89" t="str">
        <f t="shared" ref="F5:F11" si="0">TRIM(UPPER(LEFT(B5,3)))&amp;IF(ISBLANK(C5),"","-")&amp;TRIM(UPPER(LEFT(C5,3)))&amp;IF(ISBLANK(D5),"","-")&amp;TRIM(UPPER(LEFT(D5,3)))&amp;IF(ISBLANK(E5),"","-")&amp;TRIM(UPPER(LEFT(E5,3)))</f>
        <v>BRA-POL-NAT-REG</v>
      </c>
    </row>
    <row r="6" spans="1:6" ht="16.2" x14ac:dyDescent="0.35">
      <c r="A6" s="79"/>
      <c r="B6" s="88" t="s">
        <v>55</v>
      </c>
      <c r="C6" s="86" t="s">
        <v>62</v>
      </c>
      <c r="D6" s="88" t="s">
        <v>56</v>
      </c>
      <c r="E6" s="88" t="s">
        <v>58</v>
      </c>
      <c r="F6" s="89" t="str">
        <f t="shared" si="0"/>
        <v>BRA-POL-NAT-XL</v>
      </c>
    </row>
    <row r="7" spans="1:6" ht="16.2" x14ac:dyDescent="0.35">
      <c r="A7" s="79"/>
      <c r="B7" s="88" t="s">
        <v>59</v>
      </c>
      <c r="C7" s="86" t="s">
        <v>62</v>
      </c>
      <c r="D7" s="88" t="s">
        <v>56</v>
      </c>
      <c r="E7" s="88"/>
      <c r="F7" s="89" t="str">
        <f>TRIM(UPPER(LEFT(B7,3)))&amp;IF(ISBLANK(C7),"","-")&amp;TRIM(UPPER(LEFT(C7,3)))&amp;IF(ISBLANK(D7),"","-")&amp;TRIM(UPPER(LEFT(D7,3)))&amp;IF(ISBLANK(E7),"","-")&amp;TRIM(UPPER(LEFT(E7,3)))</f>
        <v>EAR-POL-NAT</v>
      </c>
    </row>
    <row r="8" spans="1:6" ht="16.2" x14ac:dyDescent="0.35">
      <c r="A8" s="79"/>
      <c r="B8" s="88" t="s">
        <v>69</v>
      </c>
      <c r="C8" s="86" t="s">
        <v>62</v>
      </c>
      <c r="D8" s="88" t="s">
        <v>70</v>
      </c>
      <c r="E8" s="88" t="s">
        <v>75</v>
      </c>
      <c r="F8" s="89" t="str">
        <f>TRIM(UPPER(LEFT(B8,3)))&amp;IF(ISBLANK(C8),"","-")&amp;TRIM(UPPER(LEFT(C8,3)))&amp;IF(ISBLANK(D8),"","-")&amp;TRIM(UPPER(LEFT(D8,3)))&amp;IF(ISBLANK(E8),"","-")&amp;TRIM(UPPER(LEFT(E8,3)))</f>
        <v>AZT-POL-SIL-ADJ</v>
      </c>
    </row>
    <row r="9" spans="1:6" ht="16.2" x14ac:dyDescent="0.35">
      <c r="A9" s="79"/>
      <c r="B9" s="88" t="s">
        <v>71</v>
      </c>
      <c r="C9" s="86" t="s">
        <v>62</v>
      </c>
      <c r="D9" s="88" t="s">
        <v>72</v>
      </c>
      <c r="E9" s="88" t="s">
        <v>73</v>
      </c>
      <c r="F9" s="89" t="str">
        <f t="shared" si="0"/>
        <v>BOH-POL-BRO-DAN</v>
      </c>
    </row>
    <row r="10" spans="1:6" ht="16.2" x14ac:dyDescent="0.35">
      <c r="A10" s="79"/>
      <c r="B10" s="88" t="s">
        <v>53</v>
      </c>
      <c r="C10" s="86" t="s">
        <v>62</v>
      </c>
      <c r="D10" s="88" t="s">
        <v>74</v>
      </c>
      <c r="E10" s="88">
        <v>22</v>
      </c>
      <c r="F10" s="89" t="str">
        <f t="shared" si="0"/>
        <v>PEN-POL-PIN-22</v>
      </c>
    </row>
    <row r="11" spans="1:6" ht="16.2" x14ac:dyDescent="0.35">
      <c r="A11" s="79"/>
      <c r="B11" s="88" t="s">
        <v>79</v>
      </c>
      <c r="C11" s="86" t="s">
        <v>62</v>
      </c>
      <c r="D11" s="88" t="s">
        <v>80</v>
      </c>
      <c r="E11" s="88">
        <v>22</v>
      </c>
      <c r="F11" s="89" t="str">
        <f t="shared" si="0"/>
        <v>SET-POL-MUL-22</v>
      </c>
    </row>
    <row r="12" spans="1:6" x14ac:dyDescent="0.3">
      <c r="B12" s="88" t="s">
        <v>81</v>
      </c>
      <c r="C12" s="86" t="s">
        <v>62</v>
      </c>
      <c r="D12" s="88" t="s">
        <v>82</v>
      </c>
      <c r="E12" s="88">
        <v>22</v>
      </c>
      <c r="F12" s="89" t="str">
        <f t="shared" ref="F12:F18" si="1">TRIM(UPPER(LEFT(B12,3)))&amp;IF(ISBLANK(C12),"","-")&amp;TRIM(UPPER(LEFT(C12,3)))&amp;IF(ISBLANK(D12),"","-")&amp;TRIM(UPPER(LEFT(D12,3)))&amp;IF(ISBLANK(E12),"","-")&amp;TRIM(UPPER(LEFT(E12,3)))</f>
        <v>TUR-POL-BLU-22</v>
      </c>
    </row>
    <row r="13" spans="1:6" x14ac:dyDescent="0.3">
      <c r="B13" s="88" t="s">
        <v>83</v>
      </c>
      <c r="C13" s="86" t="s">
        <v>62</v>
      </c>
      <c r="D13" s="88" t="s">
        <v>80</v>
      </c>
      <c r="E13" s="88">
        <v>22</v>
      </c>
      <c r="F13" s="89" t="str">
        <f t="shared" si="1"/>
        <v>OVA-POL-MUL-22</v>
      </c>
    </row>
    <row r="14" spans="1:6" x14ac:dyDescent="0.3">
      <c r="B14" s="88" t="s">
        <v>84</v>
      </c>
      <c r="C14" s="86" t="s">
        <v>62</v>
      </c>
      <c r="D14" s="88" t="s">
        <v>80</v>
      </c>
      <c r="E14" s="88" t="s">
        <v>73</v>
      </c>
      <c r="F14" s="89" t="str">
        <f t="shared" si="1"/>
        <v>OVA-POL-MUL-DAN</v>
      </c>
    </row>
    <row r="15" spans="1:6" x14ac:dyDescent="0.3">
      <c r="B15" s="88" t="s">
        <v>85</v>
      </c>
      <c r="C15" s="86" t="s">
        <v>62</v>
      </c>
      <c r="D15" s="88" t="s">
        <v>80</v>
      </c>
      <c r="E15" s="88">
        <v>18</v>
      </c>
      <c r="F15" s="89" t="str">
        <f t="shared" si="1"/>
        <v>BEA-POL-MUL-18</v>
      </c>
    </row>
    <row r="16" spans="1:6" x14ac:dyDescent="0.3">
      <c r="B16" s="88" t="s">
        <v>86</v>
      </c>
      <c r="C16" s="86" t="s">
        <v>62</v>
      </c>
      <c r="D16" s="88" t="s">
        <v>87</v>
      </c>
      <c r="E16" s="88">
        <v>28</v>
      </c>
      <c r="F16" s="89" t="str">
        <f t="shared" si="1"/>
        <v>GLA-POL-LAV-28</v>
      </c>
    </row>
    <row r="17" spans="2:6" x14ac:dyDescent="0.3">
      <c r="B17" s="88" t="s">
        <v>88</v>
      </c>
      <c r="C17" s="86" t="s">
        <v>62</v>
      </c>
      <c r="D17" s="88" t="s">
        <v>89</v>
      </c>
      <c r="E17" s="88">
        <v>18</v>
      </c>
      <c r="F17" s="89" t="str">
        <f t="shared" si="1"/>
        <v>PEA-POL-PAS-18</v>
      </c>
    </row>
    <row r="18" spans="2:6" x14ac:dyDescent="0.3">
      <c r="B18" s="88" t="s">
        <v>90</v>
      </c>
      <c r="C18" s="86" t="s">
        <v>62</v>
      </c>
      <c r="D18" s="88" t="s">
        <v>82</v>
      </c>
      <c r="E18" s="88" t="s">
        <v>91</v>
      </c>
      <c r="F18" s="89" t="str">
        <f t="shared" si="1"/>
        <v>TUR-POL-BLU-CUF</v>
      </c>
    </row>
    <row r="19" spans="2:6" x14ac:dyDescent="0.3">
      <c r="B19" s="88" t="s">
        <v>92</v>
      </c>
      <c r="C19" s="86" t="s">
        <v>62</v>
      </c>
      <c r="D19" s="88" t="s">
        <v>93</v>
      </c>
      <c r="E19" s="88" t="s">
        <v>79</v>
      </c>
      <c r="F19" s="89" t="str">
        <f t="shared" ref="F19:F21" si="2">TRIM(UPPER(LEFT(B19,3)))&amp;IF(ISBLANK(C19),"","-")&amp;TRIM(UPPER(LEFT(C19,3)))&amp;IF(ISBLANK(D19),"","-")&amp;TRIM(UPPER(LEFT(D19,3)))&amp;IF(ISBLANK(E19),"","-")&amp;TRIM(UPPER(LEFT(E19,3)))</f>
        <v>EAR-POL-MIC-SET</v>
      </c>
    </row>
    <row r="20" spans="2:6" x14ac:dyDescent="0.3">
      <c r="B20" s="88" t="s">
        <v>92</v>
      </c>
      <c r="C20" s="86" t="s">
        <v>62</v>
      </c>
      <c r="D20" s="88" t="s">
        <v>93</v>
      </c>
      <c r="E20" s="88" t="s">
        <v>79</v>
      </c>
      <c r="F20" s="89" t="str">
        <f t="shared" si="2"/>
        <v>EAR-POL-MIC-SET</v>
      </c>
    </row>
    <row r="21" spans="2:6" x14ac:dyDescent="0.3">
      <c r="B21" s="88" t="s">
        <v>59</v>
      </c>
      <c r="C21" s="88" t="s">
        <v>95</v>
      </c>
      <c r="D21" s="88" t="s">
        <v>96</v>
      </c>
      <c r="E21" s="88" t="s">
        <v>97</v>
      </c>
      <c r="F21" s="89" t="str">
        <f t="shared" si="2"/>
        <v>EAR-RES-CLE-PAI</v>
      </c>
    </row>
    <row r="22" spans="2:6" x14ac:dyDescent="0.3">
      <c r="B22" s="88" t="s">
        <v>59</v>
      </c>
      <c r="C22" s="88" t="s">
        <v>95</v>
      </c>
      <c r="D22" s="88" t="s">
        <v>98</v>
      </c>
      <c r="E22" s="88" t="s">
        <v>97</v>
      </c>
      <c r="F22" s="89" t="str">
        <f t="shared" ref="F22:F29" si="3">TRIM(UPPER(LEFT(B22,3)))&amp;IF(ISBLANK(C22),"","-")&amp;TRIM(UPPER(LEFT(C22,3)))&amp;IF(ISBLANK(D22),"","-")&amp;TRIM(UPPER(LEFT(D22,3)))&amp;IF(ISBLANK(E22),"","-")&amp;TRIM(UPPER(LEFT(E22,3)))</f>
        <v>EAR-RES-BLA-PAI</v>
      </c>
    </row>
    <row r="23" spans="2:6" x14ac:dyDescent="0.3">
      <c r="B23" s="88"/>
      <c r="C23" s="88"/>
      <c r="D23" s="88"/>
      <c r="E23" s="88"/>
      <c r="F23" s="89" t="str">
        <f t="shared" si="3"/>
        <v/>
      </c>
    </row>
    <row r="24" spans="2:6" x14ac:dyDescent="0.3">
      <c r="B24" s="88"/>
      <c r="C24" s="88"/>
      <c r="D24" s="88"/>
      <c r="E24" s="88"/>
      <c r="F24" s="89" t="str">
        <f t="shared" si="3"/>
        <v/>
      </c>
    </row>
    <row r="25" spans="2:6" x14ac:dyDescent="0.3">
      <c r="B25" s="88"/>
      <c r="C25" s="88"/>
      <c r="D25" s="88"/>
      <c r="E25" s="88"/>
      <c r="F25" s="89" t="str">
        <f t="shared" si="3"/>
        <v/>
      </c>
    </row>
    <row r="26" spans="2:6" x14ac:dyDescent="0.3">
      <c r="B26" s="88"/>
      <c r="C26" s="88"/>
      <c r="D26" s="88"/>
      <c r="E26" s="88"/>
      <c r="F26" s="89" t="str">
        <f t="shared" si="3"/>
        <v/>
      </c>
    </row>
    <row r="27" spans="2:6" x14ac:dyDescent="0.3">
      <c r="B27" s="88"/>
      <c r="C27" s="88"/>
      <c r="D27" s="88"/>
      <c r="E27" s="88"/>
      <c r="F27" s="89" t="str">
        <f t="shared" si="3"/>
        <v/>
      </c>
    </row>
    <row r="28" spans="2:6" x14ac:dyDescent="0.3">
      <c r="B28" s="88"/>
      <c r="C28" s="88"/>
      <c r="D28" s="88"/>
      <c r="E28" s="88"/>
      <c r="F28" s="89" t="str">
        <f t="shared" si="3"/>
        <v/>
      </c>
    </row>
    <row r="29" spans="2:6" x14ac:dyDescent="0.3">
      <c r="B29" s="88"/>
      <c r="C29" s="88"/>
      <c r="D29" s="88"/>
      <c r="E29" s="88"/>
      <c r="F29" s="89" t="str">
        <f t="shared" si="3"/>
        <v/>
      </c>
    </row>
  </sheetData>
  <protectedRanges>
    <protectedRange sqref="B3:F29" name="Edit range_4"/>
  </protectedRange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16D80-CF05-4DC1-86E1-E1B1A01A72FB}">
  <dimension ref="A1:N20"/>
  <sheetViews>
    <sheetView topLeftCell="G1" workbookViewId="0">
      <selection activeCell="N15" sqref="N15"/>
    </sheetView>
  </sheetViews>
  <sheetFormatPr defaultRowHeight="15.6" x14ac:dyDescent="0.3"/>
  <cols>
    <col min="1" max="1" width="17.296875" bestFit="1" customWidth="1"/>
    <col min="2" max="2" width="8.19921875" bestFit="1" customWidth="1"/>
    <col min="3" max="3" width="12.796875" style="90" bestFit="1" customWidth="1"/>
    <col min="4" max="4" width="10.296875" style="90" bestFit="1" customWidth="1"/>
    <col min="5" max="5" width="12.69921875" style="90" bestFit="1" customWidth="1"/>
    <col min="6" max="6" width="12.796875" style="90" bestFit="1" customWidth="1"/>
    <col min="7" max="7" width="12.796875" style="93" customWidth="1"/>
    <col min="8" max="8" width="10" style="93" customWidth="1"/>
    <col min="9" max="9" width="9.8984375" style="90" bestFit="1" customWidth="1"/>
    <col min="10" max="10" width="11.296875" style="90" bestFit="1" customWidth="1"/>
    <col min="11" max="11" width="9.8984375" style="90" bestFit="1" customWidth="1"/>
    <col min="12" max="12" width="12.3984375" style="92" bestFit="1" customWidth="1"/>
    <col min="13" max="13" width="12.796875" bestFit="1" customWidth="1"/>
    <col min="14" max="14" width="13.5" bestFit="1" customWidth="1"/>
  </cols>
  <sheetData>
    <row r="1" spans="1:14" x14ac:dyDescent="0.3">
      <c r="A1" t="s">
        <v>111</v>
      </c>
      <c r="B1" t="s">
        <v>1</v>
      </c>
      <c r="C1" s="90" t="s">
        <v>112</v>
      </c>
      <c r="D1" s="90" t="s">
        <v>99</v>
      </c>
      <c r="E1" s="90" t="s">
        <v>100</v>
      </c>
      <c r="F1" s="90" t="s">
        <v>101</v>
      </c>
      <c r="G1" s="93" t="s">
        <v>113</v>
      </c>
      <c r="H1" s="93" t="s">
        <v>102</v>
      </c>
      <c r="I1" s="90" t="s">
        <v>103</v>
      </c>
      <c r="J1" s="90" t="s">
        <v>104</v>
      </c>
      <c r="K1" s="90" t="s">
        <v>105</v>
      </c>
      <c r="L1" s="92" t="s">
        <v>106</v>
      </c>
      <c r="M1" s="90" t="s">
        <v>110</v>
      </c>
      <c r="N1" s="90" t="s">
        <v>124</v>
      </c>
    </row>
    <row r="2" spans="1:14" x14ac:dyDescent="0.3">
      <c r="A2" t="s">
        <v>114</v>
      </c>
      <c r="B2">
        <v>1</v>
      </c>
      <c r="C2" s="90">
        <v>3.6</v>
      </c>
      <c r="D2" s="90">
        <v>10</v>
      </c>
      <c r="E2" s="90">
        <v>3</v>
      </c>
      <c r="F2" s="90">
        <v>2.5</v>
      </c>
      <c r="G2" s="93">
        <v>5</v>
      </c>
      <c r="H2" s="93">
        <f>SUM(C2:F2)*0.09</f>
        <v>1.7190000000000001</v>
      </c>
      <c r="I2" s="90">
        <f>SUM(C2:H2)*B2</f>
        <v>25.819000000000003</v>
      </c>
      <c r="J2" s="90">
        <f>I2*(1+Dashboard!$I$1)</f>
        <v>33.564700000000002</v>
      </c>
      <c r="K2" s="90">
        <f>J2-I2</f>
        <v>7.7456999999999994</v>
      </c>
      <c r="L2" s="92">
        <f>K2/J2</f>
        <v>0.23076923076923073</v>
      </c>
      <c r="M2">
        <f>SUM(B:B)</f>
        <v>5</v>
      </c>
      <c r="N2" s="90">
        <f>J2*B2</f>
        <v>33.564700000000002</v>
      </c>
    </row>
    <row r="3" spans="1:14" x14ac:dyDescent="0.3">
      <c r="A3" t="s">
        <v>115</v>
      </c>
      <c r="B3">
        <v>1</v>
      </c>
      <c r="C3" s="90">
        <v>1.1000000000000001</v>
      </c>
      <c r="D3" s="90">
        <v>3</v>
      </c>
      <c r="E3" s="90">
        <v>3</v>
      </c>
      <c r="F3" s="90">
        <v>2.5</v>
      </c>
      <c r="G3" s="93">
        <v>5</v>
      </c>
      <c r="H3" s="93">
        <f t="shared" ref="H3:H6" si="0">SUM(C3:F3)*0.09</f>
        <v>0.86399999999999999</v>
      </c>
      <c r="I3" s="90">
        <f t="shared" ref="I3:I6" si="1">SUM(C3:H3)*B3</f>
        <v>15.464</v>
      </c>
      <c r="J3" s="90">
        <f>I3*(1+Dashboard!$I$1)</f>
        <v>20.103200000000001</v>
      </c>
      <c r="K3" s="90">
        <f>J3-I3</f>
        <v>4.6392000000000007</v>
      </c>
      <c r="L3" s="92">
        <f t="shared" ref="L3:L6" si="2">K3/J3</f>
        <v>0.23076923076923078</v>
      </c>
      <c r="N3" s="90">
        <f t="shared" ref="N3:N6" si="3">J3*B3</f>
        <v>20.103200000000001</v>
      </c>
    </row>
    <row r="4" spans="1:14" x14ac:dyDescent="0.3">
      <c r="A4" t="s">
        <v>116</v>
      </c>
      <c r="B4">
        <v>1</v>
      </c>
      <c r="C4" s="90">
        <v>2.1</v>
      </c>
      <c r="D4" s="90">
        <v>5</v>
      </c>
      <c r="E4" s="90">
        <v>3</v>
      </c>
      <c r="F4" s="90">
        <v>2.5</v>
      </c>
      <c r="G4" s="93">
        <v>5</v>
      </c>
      <c r="H4" s="93">
        <f t="shared" si="0"/>
        <v>1.1339999999999999</v>
      </c>
      <c r="I4" s="90">
        <f t="shared" si="1"/>
        <v>18.734000000000002</v>
      </c>
      <c r="J4" s="90">
        <f>I4*(1+Dashboard!$I$1)</f>
        <v>24.354200000000002</v>
      </c>
      <c r="K4" s="90">
        <f>J4-I4</f>
        <v>5.6202000000000005</v>
      </c>
      <c r="L4" s="92">
        <f t="shared" si="2"/>
        <v>0.23076923076923078</v>
      </c>
      <c r="N4" s="90">
        <f t="shared" si="3"/>
        <v>24.354200000000002</v>
      </c>
    </row>
    <row r="5" spans="1:14" x14ac:dyDescent="0.3">
      <c r="A5" t="s">
        <v>117</v>
      </c>
      <c r="B5">
        <v>1</v>
      </c>
      <c r="C5" s="90">
        <v>5</v>
      </c>
      <c r="D5" s="90">
        <v>7</v>
      </c>
      <c r="E5" s="90">
        <v>4</v>
      </c>
      <c r="F5" s="90">
        <v>2.5</v>
      </c>
      <c r="G5" s="93">
        <v>5</v>
      </c>
      <c r="H5" s="93">
        <f t="shared" si="0"/>
        <v>1.665</v>
      </c>
      <c r="I5" s="90">
        <f t="shared" si="1"/>
        <v>25.164999999999999</v>
      </c>
      <c r="J5" s="90">
        <f>I5*(1+Dashboard!$I$1)</f>
        <v>32.714500000000001</v>
      </c>
      <c r="K5" s="90">
        <f>J5-I5</f>
        <v>7.5495000000000019</v>
      </c>
      <c r="L5" s="92">
        <f t="shared" si="2"/>
        <v>0.23076923076923081</v>
      </c>
      <c r="N5" s="90">
        <f t="shared" si="3"/>
        <v>32.714500000000001</v>
      </c>
    </row>
    <row r="6" spans="1:14" x14ac:dyDescent="0.3">
      <c r="A6" t="s">
        <v>118</v>
      </c>
      <c r="B6">
        <v>1</v>
      </c>
      <c r="C6" s="90">
        <v>10</v>
      </c>
      <c r="D6" s="90">
        <v>7</v>
      </c>
      <c r="E6" s="90">
        <v>4</v>
      </c>
      <c r="F6" s="90">
        <v>2.5</v>
      </c>
      <c r="G6" s="93">
        <v>5</v>
      </c>
      <c r="H6" s="93">
        <f t="shared" si="0"/>
        <v>2.1149999999999998</v>
      </c>
      <c r="I6" s="90">
        <f t="shared" si="1"/>
        <v>30.614999999999998</v>
      </c>
      <c r="J6" s="90">
        <f>I6*(1+Dashboard!$I$1)</f>
        <v>39.799500000000002</v>
      </c>
      <c r="K6" s="90">
        <f>J6-I6</f>
        <v>9.1845000000000034</v>
      </c>
      <c r="L6" s="92">
        <f t="shared" si="2"/>
        <v>0.23076923076923084</v>
      </c>
      <c r="N6" s="90">
        <f t="shared" si="3"/>
        <v>39.799500000000002</v>
      </c>
    </row>
    <row r="14" spans="1:14" x14ac:dyDescent="0.3">
      <c r="C14" s="109" t="s">
        <v>119</v>
      </c>
      <c r="D14" s="109" t="s">
        <v>120</v>
      </c>
      <c r="E14" s="109"/>
    </row>
    <row r="15" spans="1:14" x14ac:dyDescent="0.3">
      <c r="C15" s="90" t="s">
        <v>121</v>
      </c>
      <c r="D15" s="90">
        <f>C6</f>
        <v>10</v>
      </c>
      <c r="F15" s="93"/>
    </row>
    <row r="16" spans="1:14" x14ac:dyDescent="0.3">
      <c r="C16" s="90" t="s">
        <v>8</v>
      </c>
      <c r="D16" s="90">
        <f>D6</f>
        <v>7</v>
      </c>
    </row>
    <row r="17" spans="3:4" x14ac:dyDescent="0.3">
      <c r="C17" s="90" t="s">
        <v>16</v>
      </c>
      <c r="D17" s="90">
        <f>E6</f>
        <v>4</v>
      </c>
    </row>
    <row r="18" spans="3:4" x14ac:dyDescent="0.3">
      <c r="C18" s="90" t="s">
        <v>29</v>
      </c>
      <c r="D18" s="90">
        <f>F6</f>
        <v>2.5</v>
      </c>
    </row>
    <row r="19" spans="3:4" x14ac:dyDescent="0.3">
      <c r="C19" s="90" t="s">
        <v>113</v>
      </c>
      <c r="D19" s="90">
        <f>G6</f>
        <v>5</v>
      </c>
    </row>
    <row r="20" spans="3:4" x14ac:dyDescent="0.3">
      <c r="C20" s="90" t="s">
        <v>102</v>
      </c>
      <c r="D20" s="90">
        <f>H6</f>
        <v>2.1149999999999998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5AB90-3620-42E0-BA0E-A6913FF1EF2C}">
  <dimension ref="B1:I59"/>
  <sheetViews>
    <sheetView showGridLines="0" tabSelected="1" zoomScale="90" zoomScaleNormal="90" workbookViewId="0">
      <selection activeCell="B7" sqref="B7"/>
    </sheetView>
  </sheetViews>
  <sheetFormatPr defaultRowHeight="15.6" x14ac:dyDescent="0.3"/>
  <cols>
    <col min="2" max="2" width="22.5" customWidth="1"/>
    <col min="3" max="3" width="17.296875" bestFit="1" customWidth="1"/>
    <col min="8" max="8" width="9.796875" bestFit="1" customWidth="1"/>
  </cols>
  <sheetData>
    <row r="1" spans="2:9" ht="16.2" thickBot="1" x14ac:dyDescent="0.35">
      <c r="H1" s="91" t="s">
        <v>123</v>
      </c>
      <c r="I1" s="92">
        <v>0.3</v>
      </c>
    </row>
    <row r="2" spans="2:9" ht="16.2" thickTop="1" x14ac:dyDescent="0.3">
      <c r="B2" s="112" t="s">
        <v>107</v>
      </c>
      <c r="C2" s="113">
        <f>SUM(Clean_Data!J:J)*Clean_Data!M2</f>
        <v>752.68050000000005</v>
      </c>
    </row>
    <row r="3" spans="2:9" x14ac:dyDescent="0.3">
      <c r="B3" s="114" t="s">
        <v>108</v>
      </c>
      <c r="C3" s="115">
        <f>AVERAGE(Clean_Data!K:K)</f>
        <v>6.9478200000000019</v>
      </c>
    </row>
    <row r="4" spans="2:9" x14ac:dyDescent="0.3">
      <c r="B4" s="114" t="s">
        <v>109</v>
      </c>
      <c r="C4" s="115">
        <f>MAX(Clean_Data!K:K)</f>
        <v>9.1845000000000034</v>
      </c>
    </row>
    <row r="5" spans="2:9" x14ac:dyDescent="0.3">
      <c r="B5" s="114" t="s">
        <v>131</v>
      </c>
      <c r="C5" s="116" t="str">
        <f>_xlfn.XLOOKUP(C4, Clean_Data!K:K, Clean_Data!A:A)</f>
        <v>Collection01</v>
      </c>
    </row>
    <row r="6" spans="2:9" x14ac:dyDescent="0.3">
      <c r="B6" s="114" t="s">
        <v>132</v>
      </c>
      <c r="C6" s="115">
        <f>AVERAGE(Clean_Data!I:I)</f>
        <v>23.159399999999998</v>
      </c>
    </row>
    <row r="7" spans="2:9" x14ac:dyDescent="0.3">
      <c r="B7" s="114" t="s">
        <v>125</v>
      </c>
      <c r="C7" s="115">
        <f>SUM(Clean_Data!K:K)</f>
        <v>34.739100000000008</v>
      </c>
    </row>
    <row r="8" spans="2:9" ht="16.2" thickBot="1" x14ac:dyDescent="0.35">
      <c r="B8" s="117" t="s">
        <v>126</v>
      </c>
      <c r="C8" s="118">
        <f>AVERAGE(Clean_Data!L:L)</f>
        <v>0.23076923076923078</v>
      </c>
    </row>
    <row r="9" spans="2:9" ht="16.2" thickTop="1" x14ac:dyDescent="0.3"/>
    <row r="55" spans="2:2" x14ac:dyDescent="0.3">
      <c r="B55" s="110" t="s">
        <v>122</v>
      </c>
    </row>
    <row r="56" spans="2:2" x14ac:dyDescent="0.3">
      <c r="B56" s="111" t="s">
        <v>127</v>
      </c>
    </row>
    <row r="57" spans="2:2" x14ac:dyDescent="0.3">
      <c r="B57" s="111" t="s">
        <v>128</v>
      </c>
    </row>
    <row r="58" spans="2:2" x14ac:dyDescent="0.3">
      <c r="B58" s="111" t="s">
        <v>129</v>
      </c>
    </row>
    <row r="59" spans="2:2" x14ac:dyDescent="0.3">
      <c r="B59" s="111" t="s">
        <v>130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Torquiose Pendant</vt:lpstr>
      <vt:lpstr>Aztec Princess</vt:lpstr>
      <vt:lpstr>SKU Generator</vt:lpstr>
      <vt:lpstr>Clean_Data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Sherrie Hibbs</cp:lastModifiedBy>
  <cp:lastPrinted>2018-10-13T04:28:26Z</cp:lastPrinted>
  <dcterms:created xsi:type="dcterms:W3CDTF">2018-10-13T02:18:28Z</dcterms:created>
  <dcterms:modified xsi:type="dcterms:W3CDTF">2026-03-19T02:42:47Z</dcterms:modified>
</cp:coreProperties>
</file>